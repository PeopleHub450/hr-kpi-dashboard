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6900"/>
  </bookViews>
  <sheets>
    <sheet name="Recruitment Tracker(ERF)" sheetId="1" r:id="rId1"/>
    <sheet name="Sheet1" sheetId="2" r:id="rId2"/>
  </sheets>
  <definedNames>
    <definedName name="_xlnm._FilterDatabase" localSheetId="0" hidden="1">'Recruitment Tracker(ERF)'!$AR$1:$AR$365</definedName>
  </definedNames>
  <calcPr calcId="0"/>
</workbook>
</file>

<file path=xl/calcChain.xml><?xml version="1.0" encoding="utf-8"?>
<calcChain xmlns="http://schemas.openxmlformats.org/spreadsheetml/2006/main">
  <c r="AS2" i="1" l="1"/>
  <c r="AS7" i="1" s="1"/>
  <c r="AS4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2" i="1"/>
</calcChain>
</file>

<file path=xl/sharedStrings.xml><?xml version="1.0" encoding="utf-8"?>
<sst xmlns="http://schemas.openxmlformats.org/spreadsheetml/2006/main" count="3687" uniqueCount="699">
  <si>
    <t>ERF Number</t>
  </si>
  <si>
    <t>ERF Position</t>
  </si>
  <si>
    <t>Region</t>
  </si>
  <si>
    <t>Territory</t>
  </si>
  <si>
    <t>Group</t>
  </si>
  <si>
    <t>Budgeted</t>
  </si>
  <si>
    <t>Budget</t>
  </si>
  <si>
    <t>Replacement / New Position</t>
  </si>
  <si>
    <t>Replacement of</t>
  </si>
  <si>
    <t>Gender</t>
  </si>
  <si>
    <t>Grade</t>
  </si>
  <si>
    <t>Division</t>
  </si>
  <si>
    <t>Department</t>
  </si>
  <si>
    <t>ERF Received On</t>
  </si>
  <si>
    <t>Talent Demand</t>
  </si>
  <si>
    <t>Candidates Interviewed</t>
  </si>
  <si>
    <t>Candidates Offered</t>
  </si>
  <si>
    <t>Under Process</t>
  </si>
  <si>
    <t>Candidate Joined</t>
  </si>
  <si>
    <t>Remaining Open Position</t>
  </si>
  <si>
    <t>Status</t>
  </si>
  <si>
    <t>Track Xobin</t>
  </si>
  <si>
    <t>AI JD Generator - Feedalytics</t>
  </si>
  <si>
    <t>FeedScan - Feedalytics2</t>
  </si>
  <si>
    <t>FeedView - Feedalytics</t>
  </si>
  <si>
    <t>Xobin Assessment</t>
  </si>
  <si>
    <t>Source
of Joined</t>
  </si>
  <si>
    <t>Comments</t>
  </si>
  <si>
    <t>Position Code</t>
  </si>
  <si>
    <t>Name &amp; Grade</t>
  </si>
  <si>
    <t>Grade2</t>
  </si>
  <si>
    <t>EC</t>
  </si>
  <si>
    <t>Joining Date</t>
  </si>
  <si>
    <t>Date to Hold/ Stop Position</t>
  </si>
  <si>
    <t>Date to active again Position</t>
  </si>
  <si>
    <t xml:space="preserve">Resume Received </t>
  </si>
  <si>
    <t>Offer Acceptance Date</t>
  </si>
  <si>
    <t>Requester</t>
  </si>
  <si>
    <t>Recruiter</t>
  </si>
  <si>
    <t>Time to Hire</t>
  </si>
  <si>
    <t>Time To Fill</t>
  </si>
  <si>
    <t>Hired : Interviewed</t>
  </si>
  <si>
    <t>Sr. Sales Executive</t>
  </si>
  <si>
    <t>Karachi</t>
  </si>
  <si>
    <t>Contract</t>
  </si>
  <si>
    <t>Yes</t>
  </si>
  <si>
    <t>2023-24</t>
  </si>
  <si>
    <t>Replacement</t>
  </si>
  <si>
    <t>Tuba Zafar</t>
  </si>
  <si>
    <t>JBS Devices</t>
  </si>
  <si>
    <t>Hired</t>
  </si>
  <si>
    <t>LinkedIn</t>
  </si>
  <si>
    <t>Ramsha Aslam</t>
  </si>
  <si>
    <t>BU Head</t>
  </si>
  <si>
    <t>Sr Key Account Manager</t>
  </si>
  <si>
    <t>Management</t>
  </si>
  <si>
    <t>New Position</t>
  </si>
  <si>
    <t>MG5</t>
  </si>
  <si>
    <t>Sales</t>
  </si>
  <si>
    <t>JBS Consulting</t>
  </si>
  <si>
    <t>LinkedIn/ Email</t>
  </si>
  <si>
    <t xml:space="preserve">Zulqarnain Ali </t>
  </si>
  <si>
    <t>Rabia Nizami</t>
  </si>
  <si>
    <t>Nahl Kazi</t>
  </si>
  <si>
    <t>Project Manager</t>
  </si>
  <si>
    <t>Syeda Qurba</t>
  </si>
  <si>
    <t>Pre-sales</t>
  </si>
  <si>
    <t>Umar Bakhtiar</t>
  </si>
  <si>
    <t>Nahl kazi</t>
  </si>
  <si>
    <t>SAP MM Consultant</t>
  </si>
  <si>
    <t>Asfar</t>
  </si>
  <si>
    <t>Cv referred by an employee</t>
  </si>
  <si>
    <t>Hussain Abbas</t>
  </si>
  <si>
    <t>Masood Koreshi</t>
  </si>
  <si>
    <t>Account Manager</t>
  </si>
  <si>
    <t>Sehrish</t>
  </si>
  <si>
    <t xml:space="preserve">JBS Consulting </t>
  </si>
  <si>
    <t>Jahenzeb Jamal</t>
  </si>
  <si>
    <t>Sr Financial Executive</t>
  </si>
  <si>
    <t>Ali Abbas</t>
  </si>
  <si>
    <t xml:space="preserve">MG 3 </t>
  </si>
  <si>
    <t>Corporate affairs</t>
  </si>
  <si>
    <t>JBS INC</t>
  </si>
  <si>
    <t>Muhammad MG3</t>
  </si>
  <si>
    <t>Waajid Ali khan</t>
  </si>
  <si>
    <t>People &amp; Culture Specialist</t>
  </si>
  <si>
    <t>Rehma Alvi</t>
  </si>
  <si>
    <t>People &amp; Culture</t>
  </si>
  <si>
    <t xml:space="preserve">Alina zaidi MG 3 </t>
  </si>
  <si>
    <t>Sukaina Shabbir</t>
  </si>
  <si>
    <t>Sales Executive</t>
  </si>
  <si>
    <t>Maira Fatima</t>
  </si>
  <si>
    <t>CHQ</t>
  </si>
  <si>
    <t xml:space="preserve">Nimra Ejaz Khokar </t>
  </si>
  <si>
    <t>Kundan Maheshwari</t>
  </si>
  <si>
    <t>Key Account Manager</t>
  </si>
  <si>
    <t>Muhammad Rizwan</t>
  </si>
  <si>
    <t>Enterprise</t>
  </si>
  <si>
    <t>JIS</t>
  </si>
  <si>
    <t>Shadman Abbasi</t>
  </si>
  <si>
    <t>Contractual</t>
  </si>
  <si>
    <t>Fahad Khan</t>
  </si>
  <si>
    <t>Rameesha</t>
  </si>
  <si>
    <t>Sales Development Representative (JC)</t>
  </si>
  <si>
    <t>sales</t>
  </si>
  <si>
    <t>JBS Consulting (Trazval)</t>
  </si>
  <si>
    <t>Muhammad Osama Mehmood</t>
  </si>
  <si>
    <t>Zayaan Veqar</t>
  </si>
  <si>
    <t>Hania</t>
  </si>
  <si>
    <t>Sales Development Representative 1</t>
  </si>
  <si>
    <t>JBS Inc. (Trazval)</t>
  </si>
  <si>
    <t>CV referred by an employee</t>
  </si>
  <si>
    <t>Hamdan Wasif</t>
  </si>
  <si>
    <t>Sales Development Representative 2</t>
  </si>
  <si>
    <t>On Going</t>
  </si>
  <si>
    <t>MTO Sales 1</t>
  </si>
  <si>
    <t>Hasan Saeed</t>
  </si>
  <si>
    <t>JIS FED South</t>
  </si>
  <si>
    <t>Areebuddin Shah</t>
  </si>
  <si>
    <t>Kashif Mohiuddin</t>
  </si>
  <si>
    <t>MTO Sales 2</t>
  </si>
  <si>
    <t>Yousuf Humayon</t>
  </si>
  <si>
    <t>Trainee Engineer</t>
  </si>
  <si>
    <t>Impare</t>
  </si>
  <si>
    <t>Laiba</t>
  </si>
  <si>
    <t>Faisal Haque</t>
  </si>
  <si>
    <t>Hasham</t>
  </si>
  <si>
    <t>Asher Hussain</t>
  </si>
  <si>
    <t>Islamabad</t>
  </si>
  <si>
    <t>Salman Ahmed</t>
  </si>
  <si>
    <t>Regional Technical Manager</t>
  </si>
  <si>
    <t>2024-2025</t>
  </si>
  <si>
    <t>MG4</t>
  </si>
  <si>
    <t>EnA</t>
  </si>
  <si>
    <t>Ref</t>
  </si>
  <si>
    <t>Masood Bukhari</t>
  </si>
  <si>
    <t>Osama Javed</t>
  </si>
  <si>
    <t>HVAC Engineer</t>
  </si>
  <si>
    <t>Zahid Iqbal</t>
  </si>
  <si>
    <t>Lahore</t>
  </si>
  <si>
    <t>Asim</t>
  </si>
  <si>
    <t>Shahzaib</t>
  </si>
  <si>
    <t>Faisal Murad</t>
  </si>
  <si>
    <t>Customer Support Engineer</t>
  </si>
  <si>
    <t>JCS</t>
  </si>
  <si>
    <t>Indeed</t>
  </si>
  <si>
    <t>Murtaza</t>
  </si>
  <si>
    <t>-</t>
  </si>
  <si>
    <t>Khurram Tasheen</t>
  </si>
  <si>
    <t>Linkedin</t>
  </si>
  <si>
    <t>Fasih Ul Hassan</t>
  </si>
  <si>
    <t>Sr Engineer</t>
  </si>
  <si>
    <t>Associate Engineer</t>
  </si>
  <si>
    <t>Permanent</t>
  </si>
  <si>
    <t>Komal Inayat</t>
  </si>
  <si>
    <t>MG2</t>
  </si>
  <si>
    <t>review</t>
  </si>
  <si>
    <t>Oracle Technical Consultant</t>
  </si>
  <si>
    <t>yes</t>
  </si>
  <si>
    <t>jbs consulting</t>
  </si>
  <si>
    <t>Cv referred</t>
  </si>
  <si>
    <t>Syed sadiq</t>
  </si>
  <si>
    <t>Madiha Aadil</t>
  </si>
  <si>
    <t>Nahl</t>
  </si>
  <si>
    <t>Apex developer</t>
  </si>
  <si>
    <t>hired</t>
  </si>
  <si>
    <t>Muhammad Ashfaq</t>
  </si>
  <si>
    <t>Mohsin irfan</t>
  </si>
  <si>
    <t>Kamran ghaffar</t>
  </si>
  <si>
    <t>Noman asghar</t>
  </si>
  <si>
    <t>Khurram Kazmi</t>
  </si>
  <si>
    <t>Jr Oracle developer</t>
  </si>
  <si>
    <t>Fizza Mariyam</t>
  </si>
  <si>
    <t xml:space="preserve">Sr Sales Executive </t>
  </si>
  <si>
    <t>Maaz Saleem</t>
  </si>
  <si>
    <t xml:space="preserve">JBS Inc </t>
  </si>
  <si>
    <t>Sharjeel Shoaib</t>
  </si>
  <si>
    <t xml:space="preserve">Hania </t>
  </si>
  <si>
    <t xml:space="preserve">UI/UX Designer </t>
  </si>
  <si>
    <t xml:space="preserve">Waqas Pervaiz </t>
  </si>
  <si>
    <t xml:space="preserve">Arjun Kishore </t>
  </si>
  <si>
    <t>Shahzad Ali</t>
  </si>
  <si>
    <t xml:space="preserve">Frontend Developer </t>
  </si>
  <si>
    <t xml:space="preserve">Shoaib Arif </t>
  </si>
  <si>
    <t xml:space="preserve">Recruitment Agency </t>
  </si>
  <si>
    <t>Ateeb Rizwan</t>
  </si>
  <si>
    <t xml:space="preserve">Finance Associate </t>
  </si>
  <si>
    <t>Muhammad</t>
  </si>
  <si>
    <t xml:space="preserve">Sales and Talent Advocate </t>
  </si>
  <si>
    <t xml:space="preserve">Syed Saad Salman </t>
  </si>
  <si>
    <t>Basim Jamil</t>
  </si>
  <si>
    <t>Hania/Kundan</t>
  </si>
  <si>
    <t>Microsoft Infrastructure consultant</t>
  </si>
  <si>
    <t>linkedin</t>
  </si>
  <si>
    <t>Muhammad bilal khan</t>
  </si>
  <si>
    <t>Umar bakhtiar</t>
  </si>
  <si>
    <t>Business Analyst</t>
  </si>
  <si>
    <t>permanent</t>
  </si>
  <si>
    <t>Fahad Nawaz</t>
  </si>
  <si>
    <t>MG3</t>
  </si>
  <si>
    <t>Zaheer malik</t>
  </si>
  <si>
    <t>Munaf ahmed</t>
  </si>
  <si>
    <t>Khurram kazmi</t>
  </si>
  <si>
    <t>Senior Oracle Apex developer</t>
  </si>
  <si>
    <t>Shakir ali</t>
  </si>
  <si>
    <t xml:space="preserve">Oracle CX Services and Field Services Consultant </t>
  </si>
  <si>
    <t>2045-2025</t>
  </si>
  <si>
    <t>Muhammad Yahya bin zafar</t>
  </si>
  <si>
    <t xml:space="preserve">Nahl </t>
  </si>
  <si>
    <t>Backend developer</t>
  </si>
  <si>
    <t>Imran hassan</t>
  </si>
  <si>
    <t>HK</t>
  </si>
  <si>
    <t>Ahmed Ali</t>
  </si>
  <si>
    <t>Ammar ahmed</t>
  </si>
  <si>
    <t>Project Manager - EPM</t>
  </si>
  <si>
    <t xml:space="preserve">Key Account Manager </t>
  </si>
  <si>
    <t>on going</t>
  </si>
  <si>
    <t>Sohail Ahmed</t>
  </si>
  <si>
    <t>Rehan Ullah</t>
  </si>
  <si>
    <t>AbuBakar</t>
  </si>
  <si>
    <t>Network Support Engineer</t>
  </si>
  <si>
    <t>2024-24</t>
  </si>
  <si>
    <t>Areeb Shaikh</t>
  </si>
  <si>
    <t>Closed</t>
  </si>
  <si>
    <t>Waqar Ahmed</t>
  </si>
  <si>
    <t>Farhan Nasir</t>
  </si>
  <si>
    <t>Muhammad Ibrahim</t>
  </si>
  <si>
    <t>University Agreement</t>
  </si>
  <si>
    <t>Resident Engineer</t>
  </si>
  <si>
    <t>Abdul Haseeb</t>
  </si>
  <si>
    <t>Cont</t>
  </si>
  <si>
    <t>Salman Baqi</t>
  </si>
  <si>
    <t>Delivery Representative</t>
  </si>
  <si>
    <t>Asher Yaqoob</t>
  </si>
  <si>
    <t>Fazal ur Rehman</t>
  </si>
  <si>
    <t>Kashif Sarwar</t>
  </si>
  <si>
    <t>SOC  Analyst</t>
  </si>
  <si>
    <t>Muhammad Shahbaz</t>
  </si>
  <si>
    <t>Junior Associate - Customer Support</t>
  </si>
  <si>
    <t>Intern to Contract</t>
  </si>
  <si>
    <t>Abdul Moiz</t>
  </si>
  <si>
    <t>IT Officer</t>
  </si>
  <si>
    <t>Ali Raza Shah</t>
  </si>
  <si>
    <t>Hafiz Muhammad Shahzoor Khan</t>
  </si>
  <si>
    <t xml:space="preserve">IT Help Desk Coordinator </t>
  </si>
  <si>
    <t>Rehan Ahmed</t>
  </si>
  <si>
    <t>Rida</t>
  </si>
  <si>
    <t>Aqeel</t>
  </si>
  <si>
    <t>Sumeed Tahir</t>
  </si>
  <si>
    <t>Saad Bin Ata</t>
  </si>
  <si>
    <t>Waleed Bin Khalid</t>
  </si>
  <si>
    <t>IT HW Technician</t>
  </si>
  <si>
    <t xml:space="preserve">Shakeel Haidar </t>
  </si>
  <si>
    <t>Mohiuddin</t>
  </si>
  <si>
    <t xml:space="preserve">L1 IT Engineer  </t>
  </si>
  <si>
    <t>Recommended by Business</t>
  </si>
  <si>
    <t>Mudassir Altaf</t>
  </si>
  <si>
    <t>Sadaat Ullah</t>
  </si>
  <si>
    <t>HRMS Consultant</t>
  </si>
  <si>
    <t>2024-2024</t>
  </si>
  <si>
    <t>Shahmeer Khan</t>
  </si>
  <si>
    <t>EPM Solution Architect</t>
  </si>
  <si>
    <t>Saeed ahmed</t>
  </si>
  <si>
    <t>Oracle Functional Consultant</t>
  </si>
  <si>
    <t>karachi</t>
  </si>
  <si>
    <t>Kashif jawad</t>
  </si>
  <si>
    <t>Microsoft system administrator</t>
  </si>
  <si>
    <t>DevOps Engineer</t>
  </si>
  <si>
    <t>Musaib Khan MG3</t>
  </si>
  <si>
    <t xml:space="preserve">MG3 </t>
  </si>
  <si>
    <t>Saira</t>
  </si>
  <si>
    <t>Syed Tahir Ali</t>
  </si>
  <si>
    <t>Muhammad Umer Naim</t>
  </si>
  <si>
    <t>L2 IT Engineer</t>
  </si>
  <si>
    <t>Umer Draz</t>
  </si>
  <si>
    <t>Technical Engineer</t>
  </si>
  <si>
    <t>Muhammad Talha Rashid</t>
  </si>
  <si>
    <t>Sr. People &amp; Culture Executive</t>
  </si>
  <si>
    <t>CS</t>
  </si>
  <si>
    <t>P&amp;C</t>
  </si>
  <si>
    <t>Saira Binte Ali</t>
  </si>
  <si>
    <t>Oracle apex developer</t>
  </si>
  <si>
    <t>contract</t>
  </si>
  <si>
    <t>SOC Analyst KE-KHI</t>
  </si>
  <si>
    <t xml:space="preserve">Hammad Ahmed (22419)                         </t>
  </si>
  <si>
    <t>Maaz Ahmed</t>
  </si>
  <si>
    <t>Virtualization Associate</t>
  </si>
  <si>
    <t>Abdul Wahab</t>
  </si>
  <si>
    <t>Subhan Lakho</t>
  </si>
  <si>
    <t>Muneeb Shah</t>
  </si>
  <si>
    <t>9/23/2024</t>
  </si>
  <si>
    <t xml:space="preserve">Muhammad Shahzeb Aslam                                  </t>
  </si>
  <si>
    <t>Asher Ali</t>
  </si>
  <si>
    <t>New Joining</t>
  </si>
  <si>
    <t>Sana Ullah</t>
  </si>
  <si>
    <t>Resident engineer</t>
  </si>
  <si>
    <t>Muhammad Kashif</t>
  </si>
  <si>
    <t>Talha Atta</t>
  </si>
  <si>
    <t>Marketing Lead</t>
  </si>
  <si>
    <t>Nosheen Naz</t>
  </si>
  <si>
    <t>Business Development Manager</t>
  </si>
  <si>
    <t>New Hiring</t>
  </si>
  <si>
    <t>ENA</t>
  </si>
  <si>
    <t>SALES-ENA</t>
  </si>
  <si>
    <t>Sheraz Tahir</t>
  </si>
  <si>
    <t>Zia Ahmed</t>
  </si>
  <si>
    <t>Sanaullah Afzal</t>
  </si>
  <si>
    <t>Sr. Verification Engineer</t>
  </si>
  <si>
    <t>Jeveria Mughal</t>
  </si>
  <si>
    <t>Embedded Engineer</t>
  </si>
  <si>
    <t>Afnan Zafar</t>
  </si>
  <si>
    <t>10/14/2024</t>
  </si>
  <si>
    <t>9/20/2024</t>
  </si>
  <si>
    <t>Electrician</t>
  </si>
  <si>
    <t>Customer Service Engineer</t>
  </si>
  <si>
    <t>MG-3</t>
  </si>
  <si>
    <t>MG-2</t>
  </si>
  <si>
    <t>MTO - Flutter Dveloper</t>
  </si>
  <si>
    <t>Hysab Kytab</t>
  </si>
  <si>
    <t>Ammar Ahmed</t>
  </si>
  <si>
    <t xml:space="preserve">MG4 </t>
  </si>
  <si>
    <t>Waqar Khalid</t>
  </si>
  <si>
    <t>L2 Support Engineer</t>
  </si>
  <si>
    <t>L1 IP Engineer</t>
  </si>
  <si>
    <t>L3 RF Planning &amp; Optimization SME - 5G/4G</t>
  </si>
  <si>
    <t>L3 Maintenance Manager</t>
  </si>
  <si>
    <t>Recident Engineer</t>
  </si>
  <si>
    <t>People &amp; Culture Executive</t>
  </si>
  <si>
    <t>Hania Adil</t>
  </si>
  <si>
    <t>Jbs Inc</t>
  </si>
  <si>
    <t>Tahamee Siddiqui</t>
  </si>
  <si>
    <t>Sukaina Shabbia</t>
  </si>
  <si>
    <t>Finance Associate</t>
  </si>
  <si>
    <t>Crs</t>
  </si>
  <si>
    <t>Muhammad Hussain</t>
  </si>
  <si>
    <t>MTO Infrastructure Project</t>
  </si>
  <si>
    <t>Tauheed Akram</t>
  </si>
  <si>
    <t>Infrastructure</t>
  </si>
  <si>
    <t>Syed Guffran Abbas</t>
  </si>
  <si>
    <t>Noman ul Huda Siddiqui</t>
  </si>
  <si>
    <t>Resident Engineer - HMBL DC</t>
  </si>
  <si>
    <t>Sajid</t>
  </si>
  <si>
    <t>Jawwad Ahmed</t>
  </si>
  <si>
    <t>Mirza Jibran Ali Baig</t>
  </si>
  <si>
    <t>Sales &amp; Account Executive</t>
  </si>
  <si>
    <t>Dua</t>
  </si>
  <si>
    <t>Imapre</t>
  </si>
  <si>
    <t>Mustafa Abdaal -MG3</t>
  </si>
  <si>
    <t>Faisal Haq</t>
  </si>
  <si>
    <t xml:space="preserve">Sr. Pre SalesEngineer Infrastructure </t>
  </si>
  <si>
    <t xml:space="preserve">Replacement </t>
  </si>
  <si>
    <t>Ahmed Salam</t>
  </si>
  <si>
    <t>Muhammad Usama - MG3</t>
  </si>
  <si>
    <t>Noman Ul Huda</t>
  </si>
  <si>
    <t>Head of Functional Solutions</t>
  </si>
  <si>
    <t>New</t>
  </si>
  <si>
    <t>Service Delivery</t>
  </si>
  <si>
    <t>Hammad Hassan</t>
  </si>
  <si>
    <t>Managing Consultanf</t>
  </si>
  <si>
    <t>Service Dleivery</t>
  </si>
  <si>
    <t>Saboor Jamil</t>
  </si>
  <si>
    <t>2024-2026</t>
  </si>
  <si>
    <t>Recommended by Buisness</t>
  </si>
  <si>
    <t>Rohaina Malik</t>
  </si>
  <si>
    <t>AI Business Lead</t>
  </si>
  <si>
    <t>2024-2027</t>
  </si>
  <si>
    <t>MG6</t>
  </si>
  <si>
    <t>AI</t>
  </si>
  <si>
    <t>Ali Shaheen Mallick - MG6</t>
  </si>
  <si>
    <t>Haider Wahab</t>
  </si>
  <si>
    <t>Oracle Apex Developer</t>
  </si>
  <si>
    <t>2024-2028</t>
  </si>
  <si>
    <t>Oracle Apex</t>
  </si>
  <si>
    <t>Abdur Rehman</t>
  </si>
  <si>
    <t>Mohsin Irfan</t>
  </si>
  <si>
    <t>conttract</t>
  </si>
  <si>
    <t>2024-2029</t>
  </si>
  <si>
    <t>Muhammad Umer</t>
  </si>
  <si>
    <t>Oracle Functional Consulant</t>
  </si>
  <si>
    <t>Oracle</t>
  </si>
  <si>
    <t>Maira Dilshad</t>
  </si>
  <si>
    <t>Imran ul Haq</t>
  </si>
  <si>
    <t>Microsoft</t>
  </si>
  <si>
    <t xml:space="preserve">Muhammad Sohaib </t>
  </si>
  <si>
    <t>Zulqarnain khokar</t>
  </si>
  <si>
    <t>SD Consultant</t>
  </si>
  <si>
    <t>Uzair Aslam</t>
  </si>
  <si>
    <t>Musaib Khan</t>
  </si>
  <si>
    <t>Rida Fatima</t>
  </si>
  <si>
    <t>Ravindar Rajoo</t>
  </si>
  <si>
    <t>Senior Solution Architect</t>
  </si>
  <si>
    <t>Imran hasware</t>
  </si>
  <si>
    <t>Key Account Mangager</t>
  </si>
  <si>
    <t xml:space="preserve">Permanent </t>
  </si>
  <si>
    <t xml:space="preserve">Zain saleem </t>
  </si>
  <si>
    <t>Associate oracle technical consultant</t>
  </si>
  <si>
    <t>Haris Jabbar</t>
  </si>
  <si>
    <t>Oracle HCM Functional Consultant </t>
  </si>
  <si>
    <t>Waheed Khan</t>
  </si>
  <si>
    <t>Oracle Senior Technical Consultant.</t>
  </si>
  <si>
    <t>Farhan Malik</t>
  </si>
  <si>
    <t>Haris shaikh</t>
  </si>
  <si>
    <t>CBS SLM Engineer</t>
  </si>
  <si>
    <t>Rawalpindi</t>
  </si>
  <si>
    <t>Managed Services</t>
  </si>
  <si>
    <t>Sheikh Suleman Ahsan</t>
  </si>
  <si>
    <t xml:space="preserve">Data Centre Opterator </t>
  </si>
  <si>
    <t xml:space="preserve">Hassaan Ahmed </t>
  </si>
  <si>
    <t xml:space="preserve">Murtaza Safdar </t>
  </si>
  <si>
    <t>Muhammad Rizwan Hnaif</t>
  </si>
  <si>
    <t xml:space="preserve">Taha Munir </t>
  </si>
  <si>
    <t>Shujaat Mirza</t>
  </si>
  <si>
    <t>Adil Wadood</t>
  </si>
  <si>
    <t>Junior AI/ML</t>
  </si>
  <si>
    <t>JBS App;ify</t>
  </si>
  <si>
    <t>Nexentis</t>
  </si>
  <si>
    <t>Daniyal Amir</t>
  </si>
  <si>
    <t>Waajid Khan</t>
  </si>
  <si>
    <t>Tahamee</t>
  </si>
  <si>
    <t>Taj Mehmood</t>
  </si>
  <si>
    <t>Munib Waqar</t>
  </si>
  <si>
    <t>L3 RF Planning &amp; Optimization SME -5G/4G</t>
  </si>
  <si>
    <t>Mohsin Siddiqui</t>
  </si>
  <si>
    <t>Marketing</t>
  </si>
  <si>
    <t>Muneeb Hussain</t>
  </si>
  <si>
    <t>Usama</t>
  </si>
  <si>
    <t>Yasir ul Islam</t>
  </si>
  <si>
    <t>Muhammad Anas Adil</t>
  </si>
  <si>
    <t xml:space="preserve">Imran Khan </t>
  </si>
  <si>
    <t>Hassan Ishtiaq</t>
  </si>
  <si>
    <t>Syed Muhammad ibraheem</t>
  </si>
  <si>
    <t>Muhammad Hamza</t>
  </si>
  <si>
    <t>Jawwad Khan</t>
  </si>
  <si>
    <t>Naeem Abbass</t>
  </si>
  <si>
    <t>Muhammad Ahmad</t>
  </si>
  <si>
    <t>Sales Development Representative</t>
  </si>
  <si>
    <t>JI Hardware</t>
  </si>
  <si>
    <t xml:space="preserve">Daniyal Ahmed Pahore </t>
  </si>
  <si>
    <t>JBS Applify</t>
  </si>
  <si>
    <t>Computer Parts HQ</t>
  </si>
  <si>
    <t>Interned</t>
  </si>
  <si>
    <t>Hazrat Bilal</t>
  </si>
  <si>
    <t xml:space="preserve">Sara Mosani </t>
  </si>
  <si>
    <t>Maarif Abbas</t>
  </si>
  <si>
    <t>Site Engineer</t>
  </si>
  <si>
    <t>Muhammad Owais</t>
  </si>
  <si>
    <t>Branch Management</t>
  </si>
  <si>
    <t>Muhammad Ubaid</t>
  </si>
  <si>
    <t xml:space="preserve">Service  Desk Staff </t>
  </si>
  <si>
    <t>Ifra Zamoor</t>
  </si>
  <si>
    <t>Malik Muhammad Haider Khan</t>
  </si>
  <si>
    <t>System Support Administrator</t>
  </si>
  <si>
    <t xml:space="preserve">Sikander Asif </t>
  </si>
  <si>
    <t>Abdul Hadi Shamim</t>
  </si>
  <si>
    <t>SOC Analyst</t>
  </si>
  <si>
    <t>Ifra Asghar</t>
  </si>
  <si>
    <t>Maaz Ur Rehman</t>
  </si>
  <si>
    <t xml:space="preserve">Syed Abdullah hussain </t>
  </si>
  <si>
    <t xml:space="preserve">On going </t>
  </si>
  <si>
    <t>Zubia Kiyani</t>
  </si>
  <si>
    <t>AIML Sales</t>
  </si>
  <si>
    <t>New Resources</t>
  </si>
  <si>
    <t>SDM</t>
  </si>
  <si>
    <t>Oracle Apex Consltant</t>
  </si>
  <si>
    <t>contractual</t>
  </si>
  <si>
    <t>New  Position</t>
  </si>
  <si>
    <t>waleed</t>
  </si>
  <si>
    <t>Mohsin rfan</t>
  </si>
  <si>
    <t>hussain</t>
  </si>
  <si>
    <t>Oracle HCM Consultant</t>
  </si>
  <si>
    <t>On going</t>
  </si>
  <si>
    <t>Sr Finance Executive</t>
  </si>
  <si>
    <t>CRS Finance</t>
  </si>
  <si>
    <t>Finance</t>
  </si>
  <si>
    <t>Furqan Karimi</t>
  </si>
  <si>
    <t>Zaheer Malik</t>
  </si>
  <si>
    <t>Recovery Officer</t>
  </si>
  <si>
    <t>Hassan Irteza</t>
  </si>
  <si>
    <t>Sheraz Tahir Khan</t>
  </si>
  <si>
    <t>on Hold</t>
  </si>
  <si>
    <t>Key Account Manager - Enterprise</t>
  </si>
  <si>
    <t>Salman Rehman</t>
  </si>
  <si>
    <t>Shiekh Tariq Mehmood</t>
  </si>
  <si>
    <t>Bilal Jawaid</t>
  </si>
  <si>
    <t>Saadat ullah Khan</t>
  </si>
  <si>
    <t>Impare Engineering</t>
  </si>
  <si>
    <t>Trainee Enngineer</t>
  </si>
  <si>
    <t>Waqar Azeem</t>
  </si>
  <si>
    <t>Muhammad Daud</t>
  </si>
  <si>
    <t>Shayan Khan Babar</t>
  </si>
  <si>
    <t>Shahreyar Zahoor</t>
  </si>
  <si>
    <t>Muhammad Haseeb</t>
  </si>
  <si>
    <t>New position</t>
  </si>
  <si>
    <t>Nabeel Ahmed</t>
  </si>
  <si>
    <t>Associate functional consultant</t>
  </si>
  <si>
    <t>Hiba Khalid</t>
  </si>
  <si>
    <t>Oracle SCM Consultant</t>
  </si>
  <si>
    <t>Shoaib Iqbal Malik</t>
  </si>
  <si>
    <t>Oracle Solution Architect</t>
  </si>
  <si>
    <t>Danish</t>
  </si>
  <si>
    <t>CX Resource</t>
  </si>
  <si>
    <t>Maheen Aqeel</t>
  </si>
  <si>
    <t>Hammad</t>
  </si>
  <si>
    <t>Fahad Ali</t>
  </si>
  <si>
    <t>Noman Asghar</t>
  </si>
  <si>
    <t>Naeem Ali</t>
  </si>
  <si>
    <t>SAP MM Consultant</t>
  </si>
  <si>
    <t>New positon</t>
  </si>
  <si>
    <t>Contact</t>
  </si>
  <si>
    <t>SAP</t>
  </si>
  <si>
    <t>Farrukh Khalil</t>
  </si>
  <si>
    <t>Consultant PS</t>
  </si>
  <si>
    <t>Mohsin Umer</t>
  </si>
  <si>
    <t>SAP PP/QM Consultant</t>
  </si>
  <si>
    <t>Khawaja Ali Uddin</t>
  </si>
  <si>
    <t>PM Engineer</t>
  </si>
  <si>
    <t>JSS</t>
  </si>
  <si>
    <t>JCS - Managed Services</t>
  </si>
  <si>
    <t>Saad Hanif</t>
  </si>
  <si>
    <t>Alefiyah</t>
  </si>
  <si>
    <t>Muhammad Zaheer</t>
  </si>
  <si>
    <t>AI Engineer</t>
  </si>
  <si>
    <t>no</t>
  </si>
  <si>
    <t>new position</t>
  </si>
  <si>
    <t>male</t>
  </si>
  <si>
    <t>Abdul Rehman</t>
  </si>
  <si>
    <t>Ali Bin Shaheen Mallick</t>
  </si>
  <si>
    <t>SOC Analyst - KE</t>
  </si>
  <si>
    <t>Muhammad Anas Siddiqui</t>
  </si>
  <si>
    <t>Hammad Ahmed</t>
  </si>
  <si>
    <t>Data Centre Engineer</t>
  </si>
  <si>
    <t>Dildar Shah</t>
  </si>
  <si>
    <t>Aman Ullah</t>
  </si>
  <si>
    <t>mansoor baig</t>
  </si>
  <si>
    <t>Tufail ur Rehman</t>
  </si>
  <si>
    <t>Khurram Tehseen</t>
  </si>
  <si>
    <t>Haris Javed</t>
  </si>
  <si>
    <t>Saadat Ullah Khan</t>
  </si>
  <si>
    <t>Usama Tariq</t>
  </si>
  <si>
    <t>Faisal Bashir</t>
  </si>
  <si>
    <t>BSS OPS Engineer</t>
  </si>
  <si>
    <t>Gul Waseem</t>
  </si>
  <si>
    <t>Head of Business and Global Alliances</t>
  </si>
  <si>
    <t>Sennen Desouza</t>
  </si>
  <si>
    <t>cont / mg-5</t>
  </si>
  <si>
    <t>Umer Siddique</t>
  </si>
  <si>
    <t>Munif Ahmed Khan</t>
  </si>
  <si>
    <t>Muhammad Farhan Nasir</t>
  </si>
  <si>
    <t>ETL Developer</t>
  </si>
  <si>
    <t>Permenant</t>
  </si>
  <si>
    <t>JBS-Inc</t>
  </si>
  <si>
    <t>Osama Hameed</t>
  </si>
  <si>
    <t>Ali Ahmed</t>
  </si>
  <si>
    <t>Nahl/Aisha</t>
  </si>
  <si>
    <t>Yumna Zia</t>
  </si>
  <si>
    <t>daniyal bin muzaffar</t>
  </si>
  <si>
    <t>Fullstack Developer</t>
  </si>
  <si>
    <t>HKPL - AI</t>
  </si>
  <si>
    <t>Syed Hassam Jawed</t>
  </si>
  <si>
    <t>Ali Bin Shaheen</t>
  </si>
  <si>
    <t xml:space="preserve">IT Support Engineer </t>
  </si>
  <si>
    <t>Muhammad Yasir Khan</t>
  </si>
  <si>
    <t>Senior Support Engineer</t>
  </si>
  <si>
    <t>Yasir Sharif</t>
  </si>
  <si>
    <t>IT Support Engineer</t>
  </si>
  <si>
    <t>Full Stack Engineer L2</t>
  </si>
  <si>
    <t>Dawood Hassan</t>
  </si>
  <si>
    <t>Flutter Developer</t>
  </si>
  <si>
    <t xml:space="preserve">Contract </t>
  </si>
  <si>
    <t>Fazalullah Memon</t>
  </si>
  <si>
    <t>AI Engineer L2</t>
  </si>
  <si>
    <t>Wahaj Rashid Khan</t>
  </si>
  <si>
    <t xml:space="preserve">Associate ETL Developer </t>
  </si>
  <si>
    <t>JBS- Inc</t>
  </si>
  <si>
    <t>Basim</t>
  </si>
  <si>
    <t>Aisha</t>
  </si>
  <si>
    <t>Sales Team Lead</t>
  </si>
  <si>
    <t>JBS-TECHNODE</t>
  </si>
  <si>
    <t>Recommended By Business</t>
  </si>
  <si>
    <t>Wajid Ali Khan</t>
  </si>
  <si>
    <t xml:space="preserve">Associate AI/ML </t>
  </si>
  <si>
    <t>No</t>
  </si>
  <si>
    <t>Intern- Contractual</t>
  </si>
  <si>
    <t>Areesha Amir</t>
  </si>
  <si>
    <t>Alishba Karam</t>
  </si>
  <si>
    <t xml:space="preserve">Aisha </t>
  </si>
  <si>
    <t>Business Development Executive</t>
  </si>
  <si>
    <t>Syed Saad Salman Rizvi</t>
  </si>
  <si>
    <t>Staffing</t>
  </si>
  <si>
    <t>Syed Sannan Ali</t>
  </si>
  <si>
    <t>Permenent - MG-3</t>
  </si>
  <si>
    <t>Bsim</t>
  </si>
  <si>
    <t>SAP Fico</t>
  </si>
  <si>
    <t>Business</t>
  </si>
  <si>
    <t>Syed Anwarullah</t>
  </si>
  <si>
    <t>Madiha Adil</t>
  </si>
  <si>
    <t>Cloud Solution Architect</t>
  </si>
  <si>
    <t>Sarim shahzad</t>
  </si>
  <si>
    <t>Sufyaan Ghori</t>
  </si>
  <si>
    <t>DBA</t>
  </si>
  <si>
    <t>Kunwar Muhammad Zahid Hussain</t>
  </si>
  <si>
    <t>Farrukh</t>
  </si>
  <si>
    <t>Oracle Financials Consultant</t>
  </si>
  <si>
    <t>Sarwan Jawaid</t>
  </si>
  <si>
    <t>Ahra Mashhood</t>
  </si>
  <si>
    <t>Oracle solution architect</t>
  </si>
  <si>
    <t>Syed Danish Hasan jafri</t>
  </si>
  <si>
    <t>Talha Saleem</t>
  </si>
  <si>
    <t>Farrukh naeem</t>
  </si>
  <si>
    <t>Sr Apex Developer</t>
  </si>
  <si>
    <t>Hussain</t>
  </si>
  <si>
    <t>Product and Service Marketing Associate</t>
  </si>
  <si>
    <t>Anusha Al Karim</t>
  </si>
  <si>
    <t>Muhammad Daniyal Hussain</t>
  </si>
  <si>
    <t xml:space="preserve">MG2 </t>
  </si>
  <si>
    <t>Faran Khan</t>
  </si>
  <si>
    <t>SAP PM Senior Consultant</t>
  </si>
  <si>
    <t>business</t>
  </si>
  <si>
    <t>Ossama siddiqui</t>
  </si>
  <si>
    <t>SAP PP/QM Consultant</t>
  </si>
  <si>
    <t>Zahid mehmood</t>
  </si>
  <si>
    <t>hammad hassan</t>
  </si>
  <si>
    <t>Rubasha abbasi</t>
  </si>
  <si>
    <t>Usman Nasir</t>
  </si>
  <si>
    <t>Associate MS Consultant</t>
  </si>
  <si>
    <t>Internal hiring</t>
  </si>
  <si>
    <t>Habib hassan</t>
  </si>
  <si>
    <t>AI/ML Engineer</t>
  </si>
  <si>
    <t>Taha Moiz</t>
  </si>
  <si>
    <t>AI Lead</t>
  </si>
  <si>
    <t>Fahad Farrukh</t>
  </si>
  <si>
    <t>Zaryab Khan</t>
  </si>
  <si>
    <t>Apex Consultant</t>
  </si>
  <si>
    <t>Musab ikram</t>
  </si>
  <si>
    <t>SAP SF Consultant</t>
  </si>
  <si>
    <t>Khurram Khan</t>
  </si>
  <si>
    <t>Kamran Noor</t>
  </si>
  <si>
    <t>Imran ul haq</t>
  </si>
  <si>
    <t>Muhammad Ali</t>
  </si>
  <si>
    <t>Recruitment Drive</t>
  </si>
  <si>
    <t>Zehra Ali</t>
  </si>
  <si>
    <t>Intern to Cont.</t>
  </si>
  <si>
    <t>Muhammad Mujtaba Rashid</t>
  </si>
  <si>
    <t>Product &amp; Marketing Associate</t>
  </si>
  <si>
    <t>Anusha Karim</t>
  </si>
  <si>
    <t>Muhammad Daniyal</t>
  </si>
  <si>
    <t>Associate ETL Developer</t>
  </si>
  <si>
    <t xml:space="preserve">Saadullah Saleem </t>
  </si>
  <si>
    <t>JBS Americas &amp; Europe</t>
  </si>
  <si>
    <t xml:space="preserve">Fatima Shahrukh </t>
  </si>
  <si>
    <t>Muhammad Fateh Shakir</t>
  </si>
  <si>
    <t>Associate Web Developer</t>
  </si>
  <si>
    <t>Muhammad Ziyan</t>
  </si>
  <si>
    <t xml:space="preserve">Hassan Bin Veqar </t>
  </si>
  <si>
    <t xml:space="preserve">MG-5 </t>
  </si>
  <si>
    <t>Muhammad Zayan</t>
  </si>
  <si>
    <t>Cheif Technoloy Officer</t>
  </si>
  <si>
    <t>Syed Imran Hasan</t>
  </si>
  <si>
    <t>Wordpress Developer</t>
  </si>
  <si>
    <t>Muhammad Jawwad</t>
  </si>
  <si>
    <t>Hur Abbas</t>
  </si>
  <si>
    <t xml:space="preserve">Sharjeel Shoaib </t>
  </si>
  <si>
    <t xml:space="preserve">Associate Business Analyst </t>
  </si>
  <si>
    <t>new</t>
  </si>
  <si>
    <t xml:space="preserve">Int to Cont </t>
  </si>
  <si>
    <t>Zoya Maeez</t>
  </si>
  <si>
    <t xml:space="preserve">Nabeel </t>
  </si>
  <si>
    <t>Khizar Ali</t>
  </si>
  <si>
    <t>Haris Ishaq</t>
  </si>
  <si>
    <t>MG-4</t>
  </si>
  <si>
    <t>Rizwan Hussain</t>
  </si>
  <si>
    <t>Oracle Financial Consultant</t>
  </si>
  <si>
    <t>Ahtesham Khan</t>
  </si>
  <si>
    <t>SAP ABAP Consultant</t>
  </si>
  <si>
    <t>Jashwant</t>
  </si>
  <si>
    <t>Asif Mahmood</t>
  </si>
  <si>
    <t>Kashif Hussain</t>
  </si>
  <si>
    <t>Khizer Tariq</t>
  </si>
  <si>
    <t>Syed Umar Nasar</t>
  </si>
  <si>
    <t>Shahid Younas</t>
  </si>
  <si>
    <t>Humair Shahid</t>
  </si>
  <si>
    <t>Umar faizan</t>
  </si>
  <si>
    <t>Muhammad Jahangir</t>
  </si>
  <si>
    <t>Muhammad Faheem</t>
  </si>
  <si>
    <t>Shoaib Siddiqui</t>
  </si>
  <si>
    <t>Muhammad Zeeshan</t>
  </si>
  <si>
    <t>Sameer Shaikh</t>
  </si>
  <si>
    <t>Sufyan  Ali</t>
  </si>
  <si>
    <t>Muhammad Saqib</t>
  </si>
  <si>
    <t>Syed Asad Hussain Rizvi</t>
  </si>
  <si>
    <t>Ebad Ullah</t>
  </si>
  <si>
    <t>Humza Niaz</t>
  </si>
  <si>
    <t>Maliha Paracha</t>
  </si>
  <si>
    <t>Sajjad Hassan</t>
  </si>
  <si>
    <t>Qayyum Khan</t>
  </si>
  <si>
    <t>Time to Fill in 2024</t>
  </si>
  <si>
    <t>Time to Fill in 2025</t>
  </si>
  <si>
    <t>Percentage Difference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</si>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</sst>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20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65"/>
  <sheetViews>
    <sheetView tabSelected="1" topLeftCell="AM1" workbookViewId="0">
      <selection activeCell="AR2" sqref="AR2"/>
    </sheetView>
  </sheetViews>
  <sheetFormatPr defaultColWidth="15.140625" defaultRowHeight="15" x14ac:dyDescent="0.25"/>
  <cols>
    <col min="14" max="14" width="15.140625" style="4"/>
    <col min="37" max="37" width="15.140625" style="4"/>
    <col min="42" max="42" width="21.42578125" customWidth="1"/>
  </cols>
  <sheetData>
    <row r="1" spans="1:50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4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R1" t="s">
        <v>698</v>
      </c>
      <c r="AS1" s="5" t="s">
        <v>695</v>
      </c>
      <c r="AT1" s="5"/>
      <c r="AU1" s="5"/>
      <c r="AV1" s="5"/>
      <c r="AW1" s="5"/>
      <c r="AX1" s="5"/>
    </row>
    <row r="2" spans="1:50" x14ac:dyDescent="0.25">
      <c r="A2">
        <v>2023</v>
      </c>
      <c r="B2" t="s">
        <v>42</v>
      </c>
      <c r="C2" t="s">
        <v>43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K2" t="s">
        <v>44</v>
      </c>
      <c r="M2" t="s">
        <v>49</v>
      </c>
      <c r="N2" s="4">
        <v>45282</v>
      </c>
      <c r="O2">
        <v>1</v>
      </c>
      <c r="P2">
        <v>4</v>
      </c>
      <c r="Q2">
        <v>1</v>
      </c>
      <c r="R2">
        <v>1</v>
      </c>
      <c r="S2">
        <v>1</v>
      </c>
      <c r="T2">
        <v>0</v>
      </c>
      <c r="U2" t="s">
        <v>50</v>
      </c>
      <c r="AA2" t="s">
        <v>51</v>
      </c>
      <c r="AD2" t="s">
        <v>52</v>
      </c>
      <c r="AH2" s="2">
        <v>45282</v>
      </c>
      <c r="AJ2" s="2">
        <v>45284</v>
      </c>
      <c r="AK2" s="4">
        <v>45316</v>
      </c>
      <c r="AL2" t="s">
        <v>53</v>
      </c>
      <c r="AN2">
        <v>32</v>
      </c>
      <c r="AO2">
        <v>0</v>
      </c>
      <c r="AP2" s="3">
        <v>4.4444444444444446E-2</v>
      </c>
      <c r="AQ2">
        <f>IF(AND(AO2&gt;=0,AO2&lt;=300),AO2,"")</f>
        <v>0</v>
      </c>
      <c r="AR2">
        <f>YEAR(N2)</f>
        <v>2023</v>
      </c>
      <c r="AS2" s="5">
        <f>AVERAGEIFS(AQ:AQ,AR:AR,2024)</f>
        <v>34.92307692307692</v>
      </c>
      <c r="AT2" s="5"/>
      <c r="AU2" s="5"/>
      <c r="AV2" s="5"/>
      <c r="AW2" s="5"/>
      <c r="AX2" s="5"/>
    </row>
    <row r="3" spans="1:50" x14ac:dyDescent="0.25">
      <c r="B3" t="s">
        <v>54</v>
      </c>
      <c r="C3" t="s">
        <v>43</v>
      </c>
      <c r="D3" t="s">
        <v>43</v>
      </c>
      <c r="E3" t="s">
        <v>55</v>
      </c>
      <c r="F3" t="s">
        <v>45</v>
      </c>
      <c r="G3" t="s">
        <v>46</v>
      </c>
      <c r="H3" t="s">
        <v>56</v>
      </c>
      <c r="K3" t="s">
        <v>57</v>
      </c>
      <c r="L3" t="s">
        <v>58</v>
      </c>
      <c r="M3" t="s">
        <v>59</v>
      </c>
      <c r="N3" s="4">
        <v>45328</v>
      </c>
      <c r="O3">
        <v>1</v>
      </c>
      <c r="P3">
        <v>1</v>
      </c>
      <c r="Q3">
        <v>1</v>
      </c>
      <c r="R3">
        <v>0</v>
      </c>
      <c r="S3">
        <v>1</v>
      </c>
      <c r="T3">
        <v>0</v>
      </c>
      <c r="U3" t="s">
        <v>50</v>
      </c>
      <c r="AA3" t="s">
        <v>60</v>
      </c>
      <c r="AD3" t="s">
        <v>61</v>
      </c>
      <c r="AE3" t="s">
        <v>57</v>
      </c>
      <c r="AG3" s="2">
        <v>45355</v>
      </c>
      <c r="AJ3" s="2">
        <v>45307</v>
      </c>
      <c r="AK3" s="4">
        <v>45321</v>
      </c>
      <c r="AL3" t="s">
        <v>62</v>
      </c>
      <c r="AM3" t="s">
        <v>63</v>
      </c>
      <c r="AN3">
        <v>14</v>
      </c>
      <c r="AO3">
        <v>27</v>
      </c>
      <c r="AP3" s="3">
        <v>4.2361111111111106E-2</v>
      </c>
      <c r="AQ3">
        <f t="shared" ref="AQ3:AQ66" si="0">IF(AND(AO3&gt;=0,AO3&lt;=300),AO3,"")</f>
        <v>27</v>
      </c>
      <c r="AR3">
        <f t="shared" ref="AR3:AR66" si="1">YEAR(N3)</f>
        <v>2024</v>
      </c>
      <c r="AS3" s="5" t="s">
        <v>696</v>
      </c>
      <c r="AT3" s="5"/>
      <c r="AU3" s="5"/>
      <c r="AV3" s="5"/>
      <c r="AW3" s="5"/>
      <c r="AX3" s="5"/>
    </row>
    <row r="4" spans="1:50" x14ac:dyDescent="0.25">
      <c r="B4" t="s">
        <v>64</v>
      </c>
      <c r="C4" t="s">
        <v>43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65</v>
      </c>
      <c r="K4" t="s">
        <v>44</v>
      </c>
      <c r="L4" t="s">
        <v>66</v>
      </c>
      <c r="M4" t="s">
        <v>59</v>
      </c>
      <c r="N4" s="4">
        <v>45303</v>
      </c>
      <c r="O4">
        <v>1</v>
      </c>
      <c r="P4">
        <v>3</v>
      </c>
      <c r="Q4">
        <v>1</v>
      </c>
      <c r="R4">
        <v>0</v>
      </c>
      <c r="S4">
        <v>1</v>
      </c>
      <c r="T4">
        <v>0</v>
      </c>
      <c r="U4" t="s">
        <v>50</v>
      </c>
      <c r="AA4" t="s">
        <v>51</v>
      </c>
      <c r="AD4" t="s">
        <v>67</v>
      </c>
      <c r="AG4" s="2">
        <v>45355</v>
      </c>
      <c r="AJ4" s="2">
        <v>45315</v>
      </c>
      <c r="AK4" s="4">
        <v>45321</v>
      </c>
      <c r="AL4" t="s">
        <v>62</v>
      </c>
      <c r="AM4" t="s">
        <v>68</v>
      </c>
      <c r="AN4">
        <v>6</v>
      </c>
      <c r="AO4">
        <v>52</v>
      </c>
      <c r="AP4" s="3">
        <v>4.3750000000000004E-2</v>
      </c>
      <c r="AQ4">
        <f t="shared" si="0"/>
        <v>52</v>
      </c>
      <c r="AR4">
        <f t="shared" si="1"/>
        <v>2024</v>
      </c>
      <c r="AS4" s="5">
        <f>AVERAGEIFS(AQ:AQ,AR:AR,2025)</f>
        <v>39.815789473684212</v>
      </c>
      <c r="AT4" s="5"/>
      <c r="AU4" s="5"/>
      <c r="AV4" s="5"/>
      <c r="AW4" s="5"/>
      <c r="AX4" s="5"/>
    </row>
    <row r="5" spans="1:50" x14ac:dyDescent="0.25">
      <c r="B5" t="s">
        <v>69</v>
      </c>
      <c r="C5" t="s">
        <v>43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70</v>
      </c>
      <c r="K5" t="s">
        <v>44</v>
      </c>
      <c r="L5" t="s">
        <v>66</v>
      </c>
      <c r="M5" t="s">
        <v>59</v>
      </c>
      <c r="N5" s="4">
        <v>45334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 t="s">
        <v>50</v>
      </c>
      <c r="AA5" t="s">
        <v>71</v>
      </c>
      <c r="AD5" t="s">
        <v>72</v>
      </c>
      <c r="AG5" s="2">
        <v>45366</v>
      </c>
      <c r="AJ5" s="2">
        <v>45322</v>
      </c>
      <c r="AK5" s="4">
        <v>45341</v>
      </c>
      <c r="AL5" t="s">
        <v>73</v>
      </c>
      <c r="AM5" t="s">
        <v>68</v>
      </c>
      <c r="AN5">
        <v>19</v>
      </c>
      <c r="AO5">
        <v>32</v>
      </c>
      <c r="AP5" s="3">
        <v>4.2361111111111106E-2</v>
      </c>
      <c r="AQ5">
        <f t="shared" si="0"/>
        <v>32</v>
      </c>
      <c r="AR5">
        <f t="shared" si="1"/>
        <v>2024</v>
      </c>
      <c r="AS5" s="5"/>
      <c r="AT5" s="5"/>
      <c r="AU5" s="5"/>
      <c r="AV5" s="5"/>
      <c r="AW5" s="5"/>
      <c r="AX5" s="5"/>
    </row>
    <row r="6" spans="1:50" x14ac:dyDescent="0.25">
      <c r="B6" t="s">
        <v>74</v>
      </c>
      <c r="C6" t="s">
        <v>43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75</v>
      </c>
      <c r="K6" t="s">
        <v>44</v>
      </c>
      <c r="L6" t="s">
        <v>66</v>
      </c>
      <c r="M6" t="s">
        <v>76</v>
      </c>
      <c r="N6" s="4">
        <v>45341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 t="s">
        <v>50</v>
      </c>
      <c r="AA6" t="s">
        <v>71</v>
      </c>
      <c r="AD6" t="s">
        <v>77</v>
      </c>
      <c r="AG6" s="2">
        <v>45341</v>
      </c>
      <c r="AJ6" s="2">
        <v>45322</v>
      </c>
      <c r="AK6" s="4">
        <v>45337</v>
      </c>
      <c r="AL6" t="s">
        <v>62</v>
      </c>
      <c r="AM6" t="s">
        <v>68</v>
      </c>
      <c r="AN6">
        <v>15</v>
      </c>
      <c r="AO6">
        <v>0</v>
      </c>
      <c r="AP6" s="3">
        <v>4.2361111111111106E-2</v>
      </c>
      <c r="AQ6">
        <f t="shared" si="0"/>
        <v>0</v>
      </c>
      <c r="AR6">
        <f t="shared" si="1"/>
        <v>2024</v>
      </c>
      <c r="AS6" s="5" t="s">
        <v>697</v>
      </c>
      <c r="AT6" s="5"/>
      <c r="AU6" s="5"/>
      <c r="AV6" s="5"/>
      <c r="AW6" s="5"/>
      <c r="AX6" s="5"/>
    </row>
    <row r="7" spans="1:50" x14ac:dyDescent="0.25">
      <c r="B7" t="s">
        <v>78</v>
      </c>
      <c r="C7" t="s">
        <v>43</v>
      </c>
      <c r="D7" t="s">
        <v>43</v>
      </c>
      <c r="E7" t="s">
        <v>55</v>
      </c>
      <c r="F7" t="s">
        <v>45</v>
      </c>
      <c r="G7" t="s">
        <v>46</v>
      </c>
      <c r="H7" t="s">
        <v>47</v>
      </c>
      <c r="I7" t="s">
        <v>79</v>
      </c>
      <c r="K7" t="s">
        <v>80</v>
      </c>
      <c r="L7" t="s">
        <v>81</v>
      </c>
      <c r="M7" t="s">
        <v>82</v>
      </c>
      <c r="N7" s="4">
        <v>45331</v>
      </c>
      <c r="O7">
        <v>1</v>
      </c>
      <c r="P7">
        <v>2</v>
      </c>
      <c r="Q7">
        <v>1</v>
      </c>
      <c r="R7">
        <v>0</v>
      </c>
      <c r="S7">
        <v>1</v>
      </c>
      <c r="T7">
        <v>0</v>
      </c>
      <c r="U7" t="s">
        <v>50</v>
      </c>
      <c r="AA7" t="s">
        <v>71</v>
      </c>
      <c r="AD7" t="s">
        <v>83</v>
      </c>
      <c r="AG7" s="2">
        <v>45355</v>
      </c>
      <c r="AJ7" s="2">
        <v>45320</v>
      </c>
      <c r="AK7" s="4">
        <v>45324</v>
      </c>
      <c r="AL7" t="s">
        <v>84</v>
      </c>
      <c r="AM7" t="s">
        <v>63</v>
      </c>
      <c r="AN7">
        <v>4</v>
      </c>
      <c r="AO7">
        <v>24</v>
      </c>
      <c r="AP7" s="3">
        <v>4.3055555555555562E-2</v>
      </c>
      <c r="AQ7">
        <f t="shared" si="0"/>
        <v>24</v>
      </c>
      <c r="AR7">
        <f t="shared" si="1"/>
        <v>2024</v>
      </c>
      <c r="AS7" s="5">
        <f>((AS2 - AS4) / AS2) * 100</f>
        <v>-14.009969858567139</v>
      </c>
      <c r="AT7" s="5"/>
      <c r="AU7" s="5"/>
      <c r="AV7" s="5"/>
      <c r="AW7" s="5"/>
      <c r="AX7" s="5"/>
    </row>
    <row r="8" spans="1:50" x14ac:dyDescent="0.25">
      <c r="B8" t="s">
        <v>85</v>
      </c>
      <c r="C8" t="s">
        <v>43</v>
      </c>
      <c r="D8" t="s">
        <v>43</v>
      </c>
      <c r="E8" t="s">
        <v>55</v>
      </c>
      <c r="F8" t="s">
        <v>45</v>
      </c>
      <c r="G8" t="s">
        <v>46</v>
      </c>
      <c r="H8" t="s">
        <v>47</v>
      </c>
      <c r="I8" t="s">
        <v>86</v>
      </c>
      <c r="K8" t="s">
        <v>80</v>
      </c>
      <c r="L8" t="s">
        <v>81</v>
      </c>
      <c r="M8" t="s">
        <v>87</v>
      </c>
      <c r="N8" s="4">
        <v>45342</v>
      </c>
      <c r="O8">
        <v>1</v>
      </c>
      <c r="P8">
        <v>13</v>
      </c>
      <c r="Q8">
        <v>1</v>
      </c>
      <c r="R8">
        <v>0</v>
      </c>
      <c r="S8">
        <v>1</v>
      </c>
      <c r="T8">
        <v>0</v>
      </c>
      <c r="U8" t="s">
        <v>50</v>
      </c>
      <c r="AA8" t="s">
        <v>51</v>
      </c>
      <c r="AD8" t="s">
        <v>88</v>
      </c>
      <c r="AG8" s="2">
        <v>45376</v>
      </c>
      <c r="AJ8" s="2">
        <v>45324</v>
      </c>
      <c r="AK8" s="4">
        <v>45345</v>
      </c>
      <c r="AL8" t="s">
        <v>89</v>
      </c>
      <c r="AM8" t="s">
        <v>68</v>
      </c>
      <c r="AN8">
        <v>21</v>
      </c>
      <c r="AO8">
        <v>34</v>
      </c>
      <c r="AP8" s="3">
        <v>5.0694444444444452E-2</v>
      </c>
      <c r="AQ8">
        <f t="shared" si="0"/>
        <v>34</v>
      </c>
      <c r="AR8">
        <f t="shared" si="1"/>
        <v>2024</v>
      </c>
      <c r="AS8" s="5"/>
      <c r="AT8" s="5"/>
      <c r="AU8" s="5"/>
      <c r="AV8" s="5"/>
      <c r="AW8" s="5"/>
      <c r="AX8" s="5"/>
    </row>
    <row r="9" spans="1:50" x14ac:dyDescent="0.25">
      <c r="B9" t="s">
        <v>90</v>
      </c>
      <c r="C9" t="s">
        <v>43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91</v>
      </c>
      <c r="L9" t="s">
        <v>58</v>
      </c>
      <c r="M9" t="s">
        <v>92</v>
      </c>
      <c r="N9" s="4">
        <v>45316</v>
      </c>
      <c r="O9">
        <v>1</v>
      </c>
      <c r="P9">
        <v>12</v>
      </c>
      <c r="Q9">
        <v>1</v>
      </c>
      <c r="R9">
        <v>0</v>
      </c>
      <c r="S9">
        <v>1</v>
      </c>
      <c r="T9">
        <v>0</v>
      </c>
      <c r="U9" t="s">
        <v>50</v>
      </c>
      <c r="AA9" t="s">
        <v>51</v>
      </c>
      <c r="AD9" t="s">
        <v>93</v>
      </c>
      <c r="AG9" s="2">
        <v>45344</v>
      </c>
      <c r="AJ9" s="2">
        <v>45327</v>
      </c>
      <c r="AK9" s="4">
        <v>45343</v>
      </c>
      <c r="AL9" t="s">
        <v>53</v>
      </c>
      <c r="AM9" t="s">
        <v>94</v>
      </c>
      <c r="AN9">
        <v>16</v>
      </c>
      <c r="AO9">
        <v>28</v>
      </c>
      <c r="AP9" s="3">
        <v>4.9999999999999996E-2</v>
      </c>
      <c r="AQ9">
        <f t="shared" si="0"/>
        <v>28</v>
      </c>
      <c r="AR9">
        <f t="shared" si="1"/>
        <v>2024</v>
      </c>
      <c r="AS9" s="5"/>
      <c r="AT9" s="5"/>
      <c r="AU9" s="5"/>
      <c r="AV9" s="5"/>
      <c r="AW9" s="5"/>
      <c r="AX9" s="5"/>
    </row>
    <row r="10" spans="1:50" x14ac:dyDescent="0.25">
      <c r="B10" t="s">
        <v>95</v>
      </c>
      <c r="C10" t="s">
        <v>43</v>
      </c>
      <c r="D10" t="s">
        <v>43</v>
      </c>
      <c r="E10" t="s">
        <v>55</v>
      </c>
      <c r="F10" t="s">
        <v>45</v>
      </c>
      <c r="G10" t="s">
        <v>46</v>
      </c>
      <c r="H10" t="s">
        <v>47</v>
      </c>
      <c r="I10" t="s">
        <v>96</v>
      </c>
      <c r="K10" t="s">
        <v>80</v>
      </c>
      <c r="L10" t="s">
        <v>97</v>
      </c>
      <c r="M10" t="s">
        <v>98</v>
      </c>
      <c r="N10" s="4">
        <v>45727</v>
      </c>
      <c r="O10">
        <v>1</v>
      </c>
      <c r="P10">
        <v>5</v>
      </c>
      <c r="Q10">
        <v>0</v>
      </c>
      <c r="R10">
        <v>1</v>
      </c>
      <c r="S10">
        <v>0</v>
      </c>
      <c r="T10">
        <v>1</v>
      </c>
      <c r="U10" t="s">
        <v>50</v>
      </c>
      <c r="AA10" t="s">
        <v>51</v>
      </c>
      <c r="AD10" t="s">
        <v>99</v>
      </c>
      <c r="AE10" t="s">
        <v>100</v>
      </c>
      <c r="AG10" s="2">
        <v>45810</v>
      </c>
      <c r="AJ10" s="2">
        <v>45790</v>
      </c>
      <c r="AK10" s="4">
        <v>45804</v>
      </c>
      <c r="AL10" t="s">
        <v>101</v>
      </c>
      <c r="AM10" t="s">
        <v>102</v>
      </c>
      <c r="AN10">
        <v>14</v>
      </c>
      <c r="AO10">
        <v>83</v>
      </c>
      <c r="AQ10">
        <f t="shared" si="0"/>
        <v>83</v>
      </c>
      <c r="AR10">
        <f t="shared" si="1"/>
        <v>2025</v>
      </c>
    </row>
    <row r="11" spans="1:50" x14ac:dyDescent="0.25">
      <c r="B11" t="s">
        <v>103</v>
      </c>
      <c r="C11" t="s">
        <v>43</v>
      </c>
      <c r="D11" t="s">
        <v>43</v>
      </c>
      <c r="E11" t="s">
        <v>44</v>
      </c>
      <c r="H11" t="s">
        <v>56</v>
      </c>
      <c r="L11" t="s">
        <v>104</v>
      </c>
      <c r="M11" t="s">
        <v>105</v>
      </c>
      <c r="N11" s="4">
        <v>45342</v>
      </c>
      <c r="O11">
        <v>1</v>
      </c>
      <c r="P11">
        <v>2</v>
      </c>
      <c r="Q11">
        <v>1</v>
      </c>
      <c r="R11">
        <v>0</v>
      </c>
      <c r="S11">
        <v>1</v>
      </c>
      <c r="T11">
        <v>0</v>
      </c>
      <c r="U11" t="s">
        <v>50</v>
      </c>
      <c r="AA11" t="s">
        <v>51</v>
      </c>
      <c r="AD11" t="s">
        <v>106</v>
      </c>
      <c r="AG11" s="2">
        <v>45343</v>
      </c>
      <c r="AJ11" s="2">
        <v>45323</v>
      </c>
      <c r="AK11" s="4">
        <v>45341</v>
      </c>
      <c r="AL11" t="s">
        <v>107</v>
      </c>
      <c r="AM11" t="s">
        <v>108</v>
      </c>
      <c r="AN11">
        <v>18</v>
      </c>
      <c r="AO11">
        <v>1</v>
      </c>
      <c r="AP11" s="3">
        <v>4.3055555555555562E-2</v>
      </c>
      <c r="AQ11">
        <f t="shared" si="0"/>
        <v>1</v>
      </c>
      <c r="AR11">
        <f t="shared" si="1"/>
        <v>2024</v>
      </c>
    </row>
    <row r="12" spans="1:50" x14ac:dyDescent="0.25">
      <c r="B12" t="s">
        <v>109</v>
      </c>
      <c r="C12" t="s">
        <v>43</v>
      </c>
      <c r="D12" t="s">
        <v>43</v>
      </c>
      <c r="E12" t="s">
        <v>44</v>
      </c>
      <c r="H12" t="s">
        <v>56</v>
      </c>
      <c r="L12" t="s">
        <v>104</v>
      </c>
      <c r="M12" t="s">
        <v>110</v>
      </c>
      <c r="N12" s="4">
        <v>45342</v>
      </c>
      <c r="O12">
        <v>2</v>
      </c>
      <c r="P12">
        <v>19</v>
      </c>
      <c r="Q12">
        <v>1</v>
      </c>
      <c r="R12">
        <v>1</v>
      </c>
      <c r="S12">
        <v>1</v>
      </c>
      <c r="T12">
        <v>1</v>
      </c>
      <c r="U12" t="s">
        <v>50</v>
      </c>
      <c r="AA12" t="s">
        <v>111</v>
      </c>
      <c r="AD12" t="s">
        <v>112</v>
      </c>
      <c r="AG12" s="2">
        <v>45343</v>
      </c>
      <c r="AJ12" s="2">
        <v>45328</v>
      </c>
      <c r="AK12" s="4">
        <v>45341</v>
      </c>
      <c r="AL12" t="s">
        <v>107</v>
      </c>
      <c r="AM12" t="s">
        <v>108</v>
      </c>
      <c r="AN12">
        <v>13</v>
      </c>
      <c r="AO12">
        <v>1</v>
      </c>
      <c r="AP12" s="3">
        <v>5.486111111111111E-2</v>
      </c>
      <c r="AQ12">
        <f t="shared" si="0"/>
        <v>1</v>
      </c>
      <c r="AR12">
        <f t="shared" si="1"/>
        <v>2024</v>
      </c>
    </row>
    <row r="13" spans="1:50" x14ac:dyDescent="0.25">
      <c r="B13" t="s">
        <v>113</v>
      </c>
      <c r="C13" t="s">
        <v>43</v>
      </c>
      <c r="D13" t="s">
        <v>43</v>
      </c>
      <c r="E13" t="s">
        <v>44</v>
      </c>
      <c r="H13" t="s">
        <v>56</v>
      </c>
      <c r="L13" t="s">
        <v>104</v>
      </c>
      <c r="M13" t="s">
        <v>110</v>
      </c>
      <c r="N13" s="4">
        <v>45342</v>
      </c>
      <c r="O13">
        <v>2</v>
      </c>
      <c r="P13">
        <v>22</v>
      </c>
      <c r="Q13">
        <v>1</v>
      </c>
      <c r="R13">
        <v>1</v>
      </c>
      <c r="S13">
        <v>1</v>
      </c>
      <c r="T13">
        <v>1</v>
      </c>
      <c r="U13" t="s">
        <v>114</v>
      </c>
      <c r="AA13" t="s">
        <v>111</v>
      </c>
      <c r="AJ13" s="2">
        <v>45342</v>
      </c>
      <c r="AL13" t="s">
        <v>107</v>
      </c>
      <c r="AM13" t="s">
        <v>108</v>
      </c>
      <c r="AN13">
        <v>0</v>
      </c>
      <c r="AO13">
        <v>679</v>
      </c>
      <c r="AQ13" t="str">
        <f t="shared" si="0"/>
        <v/>
      </c>
      <c r="AR13">
        <f t="shared" si="1"/>
        <v>2024</v>
      </c>
    </row>
    <row r="14" spans="1:50" x14ac:dyDescent="0.25">
      <c r="B14" t="s">
        <v>115</v>
      </c>
      <c r="C14" t="s">
        <v>43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116</v>
      </c>
      <c r="K14" t="s">
        <v>44</v>
      </c>
      <c r="L14" t="s">
        <v>117</v>
      </c>
      <c r="M14" t="s">
        <v>98</v>
      </c>
      <c r="N14" s="4">
        <v>45315</v>
      </c>
      <c r="O14">
        <v>2</v>
      </c>
      <c r="P14">
        <v>5</v>
      </c>
      <c r="Q14">
        <v>1</v>
      </c>
      <c r="R14">
        <v>0</v>
      </c>
      <c r="S14">
        <v>1</v>
      </c>
      <c r="T14">
        <v>1</v>
      </c>
      <c r="U14" t="s">
        <v>50</v>
      </c>
      <c r="AA14" t="s">
        <v>51</v>
      </c>
      <c r="AD14" t="s">
        <v>118</v>
      </c>
      <c r="AG14" s="2">
        <v>45334</v>
      </c>
      <c r="AJ14" s="2">
        <v>45297</v>
      </c>
      <c r="AK14" s="4">
        <v>45325</v>
      </c>
      <c r="AL14" t="s">
        <v>119</v>
      </c>
      <c r="AM14" t="s">
        <v>108</v>
      </c>
      <c r="AN14">
        <v>28</v>
      </c>
      <c r="AO14">
        <v>19</v>
      </c>
      <c r="AP14" s="3">
        <v>4.5138888888888888E-2</v>
      </c>
      <c r="AQ14">
        <f t="shared" si="0"/>
        <v>19</v>
      </c>
      <c r="AR14">
        <f t="shared" si="1"/>
        <v>2024</v>
      </c>
    </row>
    <row r="15" spans="1:50" x14ac:dyDescent="0.25">
      <c r="B15" t="s">
        <v>120</v>
      </c>
      <c r="C15" t="s">
        <v>43</v>
      </c>
      <c r="D15" t="s">
        <v>43</v>
      </c>
      <c r="E15" t="s">
        <v>44</v>
      </c>
      <c r="F15" t="s">
        <v>45</v>
      </c>
      <c r="G15" t="s">
        <v>46</v>
      </c>
      <c r="H15" t="s">
        <v>47</v>
      </c>
      <c r="I15" t="s">
        <v>116</v>
      </c>
      <c r="K15" t="s">
        <v>44</v>
      </c>
      <c r="L15" t="s">
        <v>117</v>
      </c>
      <c r="M15" t="s">
        <v>98</v>
      </c>
      <c r="N15" s="4">
        <v>45315</v>
      </c>
      <c r="O15">
        <v>2</v>
      </c>
      <c r="P15">
        <v>5</v>
      </c>
      <c r="Q15">
        <v>1</v>
      </c>
      <c r="R15">
        <v>0</v>
      </c>
      <c r="S15">
        <v>1</v>
      </c>
      <c r="T15">
        <v>1</v>
      </c>
      <c r="U15" t="s">
        <v>50</v>
      </c>
      <c r="AA15" t="s">
        <v>51</v>
      </c>
      <c r="AD15" t="s">
        <v>121</v>
      </c>
      <c r="AG15" s="2">
        <v>45371</v>
      </c>
      <c r="AJ15" s="2">
        <v>45321</v>
      </c>
      <c r="AK15" s="4">
        <v>45342</v>
      </c>
      <c r="AL15" t="s">
        <v>119</v>
      </c>
      <c r="AM15" t="s">
        <v>108</v>
      </c>
      <c r="AN15">
        <v>21</v>
      </c>
      <c r="AO15">
        <v>56</v>
      </c>
      <c r="AQ15">
        <f t="shared" si="0"/>
        <v>56</v>
      </c>
      <c r="AR15">
        <f t="shared" si="1"/>
        <v>2024</v>
      </c>
    </row>
    <row r="16" spans="1:50" x14ac:dyDescent="0.25">
      <c r="B16" t="s">
        <v>122</v>
      </c>
      <c r="C16" t="s">
        <v>43</v>
      </c>
      <c r="D16" t="s">
        <v>43</v>
      </c>
      <c r="E16" t="s">
        <v>44</v>
      </c>
      <c r="F16" t="s">
        <v>45</v>
      </c>
      <c r="G16" t="s">
        <v>46</v>
      </c>
      <c r="H16" t="s">
        <v>47</v>
      </c>
      <c r="K16" t="s">
        <v>44</v>
      </c>
      <c r="L16" t="s">
        <v>123</v>
      </c>
      <c r="M16" t="s">
        <v>123</v>
      </c>
      <c r="N16" s="4">
        <v>45383</v>
      </c>
      <c r="O16">
        <v>3</v>
      </c>
      <c r="Q16">
        <v>2</v>
      </c>
      <c r="R16">
        <v>0</v>
      </c>
      <c r="S16">
        <v>1</v>
      </c>
      <c r="T16">
        <v>2</v>
      </c>
      <c r="U16" t="s">
        <v>50</v>
      </c>
      <c r="AA16" t="s">
        <v>51</v>
      </c>
      <c r="AD16" t="s">
        <v>124</v>
      </c>
      <c r="AG16" s="2">
        <v>45463</v>
      </c>
      <c r="AJ16" s="2">
        <v>45440</v>
      </c>
      <c r="AK16" s="4">
        <v>45456</v>
      </c>
      <c r="AL16" t="s">
        <v>125</v>
      </c>
      <c r="AM16" t="s">
        <v>126</v>
      </c>
      <c r="AN16">
        <v>16</v>
      </c>
      <c r="AO16">
        <v>80</v>
      </c>
      <c r="AQ16">
        <f t="shared" si="0"/>
        <v>80</v>
      </c>
      <c r="AR16">
        <f t="shared" si="1"/>
        <v>2024</v>
      </c>
    </row>
    <row r="17" spans="2:44" x14ac:dyDescent="0.25">
      <c r="B17" t="s">
        <v>122</v>
      </c>
      <c r="C17" t="s">
        <v>43</v>
      </c>
      <c r="D17" t="s">
        <v>43</v>
      </c>
      <c r="E17" t="s">
        <v>44</v>
      </c>
      <c r="F17" t="s">
        <v>45</v>
      </c>
      <c r="G17" t="s">
        <v>46</v>
      </c>
      <c r="H17" t="s">
        <v>56</v>
      </c>
      <c r="K17" t="s">
        <v>44</v>
      </c>
      <c r="L17" t="s">
        <v>123</v>
      </c>
      <c r="M17" t="s">
        <v>123</v>
      </c>
      <c r="N17" s="4">
        <v>45383</v>
      </c>
      <c r="O17">
        <v>2</v>
      </c>
      <c r="Q17">
        <v>2</v>
      </c>
      <c r="R17">
        <v>0</v>
      </c>
      <c r="S17">
        <v>1</v>
      </c>
      <c r="T17">
        <v>1</v>
      </c>
      <c r="U17" t="s">
        <v>50</v>
      </c>
      <c r="AA17" t="s">
        <v>51</v>
      </c>
      <c r="AD17" t="s">
        <v>127</v>
      </c>
      <c r="AG17" s="2">
        <v>45481</v>
      </c>
      <c r="AJ17" s="2">
        <v>45449</v>
      </c>
      <c r="AK17" s="4">
        <v>45470</v>
      </c>
      <c r="AL17" t="s">
        <v>125</v>
      </c>
      <c r="AM17" t="s">
        <v>126</v>
      </c>
      <c r="AN17">
        <v>21</v>
      </c>
      <c r="AO17">
        <v>98</v>
      </c>
      <c r="AP17" s="3">
        <v>4.1666666666666664E-2</v>
      </c>
      <c r="AQ17">
        <f t="shared" si="0"/>
        <v>98</v>
      </c>
      <c r="AR17">
        <f t="shared" si="1"/>
        <v>2024</v>
      </c>
    </row>
    <row r="18" spans="2:44" x14ac:dyDescent="0.25">
      <c r="B18" t="s">
        <v>122</v>
      </c>
      <c r="C18" t="s">
        <v>128</v>
      </c>
      <c r="D18" t="s">
        <v>128</v>
      </c>
      <c r="E18" t="s">
        <v>44</v>
      </c>
      <c r="F18" t="s">
        <v>45</v>
      </c>
      <c r="G18" t="s">
        <v>46</v>
      </c>
      <c r="H18" t="s">
        <v>47</v>
      </c>
      <c r="K18" t="s">
        <v>44</v>
      </c>
      <c r="L18" t="s">
        <v>123</v>
      </c>
      <c r="M18" t="s">
        <v>123</v>
      </c>
      <c r="N18" s="4">
        <v>45383</v>
      </c>
      <c r="O18">
        <v>1</v>
      </c>
      <c r="Q18">
        <v>1</v>
      </c>
      <c r="R18">
        <v>2</v>
      </c>
      <c r="S18">
        <v>1</v>
      </c>
      <c r="T18">
        <v>0</v>
      </c>
      <c r="U18" t="s">
        <v>50</v>
      </c>
      <c r="AA18" t="s">
        <v>51</v>
      </c>
      <c r="AD18" t="s">
        <v>129</v>
      </c>
      <c r="AG18" s="2">
        <v>45446</v>
      </c>
      <c r="AJ18" s="2">
        <v>45384</v>
      </c>
      <c r="AK18" s="4">
        <v>45413</v>
      </c>
      <c r="AL18" t="s">
        <v>125</v>
      </c>
      <c r="AM18" t="s">
        <v>126</v>
      </c>
      <c r="AN18">
        <v>29</v>
      </c>
      <c r="AO18">
        <v>63</v>
      </c>
      <c r="AP18" s="3">
        <v>4.1666666666666664E-2</v>
      </c>
      <c r="AQ18">
        <f t="shared" si="0"/>
        <v>63</v>
      </c>
      <c r="AR18">
        <f t="shared" si="1"/>
        <v>2024</v>
      </c>
    </row>
    <row r="19" spans="2:44" x14ac:dyDescent="0.25">
      <c r="B19" t="s">
        <v>130</v>
      </c>
      <c r="C19" t="s">
        <v>128</v>
      </c>
      <c r="D19" t="s">
        <v>128</v>
      </c>
      <c r="E19" t="s">
        <v>55</v>
      </c>
      <c r="F19" t="s">
        <v>45</v>
      </c>
      <c r="G19" t="s">
        <v>131</v>
      </c>
      <c r="H19" t="s">
        <v>56</v>
      </c>
      <c r="K19" t="s">
        <v>132</v>
      </c>
      <c r="L19" t="s">
        <v>133</v>
      </c>
      <c r="M19" t="s">
        <v>133</v>
      </c>
      <c r="N19" s="4">
        <v>45429</v>
      </c>
      <c r="O19">
        <v>1</v>
      </c>
      <c r="Q19">
        <v>1</v>
      </c>
      <c r="S19">
        <v>1</v>
      </c>
      <c r="T19">
        <v>0</v>
      </c>
      <c r="U19" t="s">
        <v>50</v>
      </c>
      <c r="AA19" t="s">
        <v>134</v>
      </c>
      <c r="AD19" t="s">
        <v>135</v>
      </c>
      <c r="AG19" s="2">
        <v>45474</v>
      </c>
      <c r="AJ19" s="2">
        <v>45429</v>
      </c>
      <c r="AK19" s="4">
        <v>45447</v>
      </c>
      <c r="AL19" t="s">
        <v>136</v>
      </c>
      <c r="AM19" t="s">
        <v>126</v>
      </c>
      <c r="AN19">
        <v>18</v>
      </c>
      <c r="AO19">
        <v>45</v>
      </c>
      <c r="AP19" s="3">
        <v>4.1666666666666664E-2</v>
      </c>
      <c r="AQ19">
        <f t="shared" si="0"/>
        <v>45</v>
      </c>
      <c r="AR19">
        <f t="shared" si="1"/>
        <v>2024</v>
      </c>
    </row>
    <row r="20" spans="2:44" x14ac:dyDescent="0.25">
      <c r="B20" t="s">
        <v>137</v>
      </c>
      <c r="C20" t="s">
        <v>128</v>
      </c>
      <c r="D20" t="s">
        <v>128</v>
      </c>
      <c r="E20" t="s">
        <v>44</v>
      </c>
      <c r="F20" t="s">
        <v>45</v>
      </c>
      <c r="G20" t="s">
        <v>131</v>
      </c>
      <c r="H20" t="s">
        <v>56</v>
      </c>
      <c r="K20" t="s">
        <v>44</v>
      </c>
      <c r="L20" t="s">
        <v>133</v>
      </c>
      <c r="M20" t="s">
        <v>133</v>
      </c>
      <c r="N20" s="4">
        <v>45448</v>
      </c>
      <c r="O20">
        <v>1</v>
      </c>
      <c r="Q20">
        <v>1</v>
      </c>
      <c r="S20">
        <v>1</v>
      </c>
      <c r="T20">
        <v>0</v>
      </c>
      <c r="U20" t="s">
        <v>50</v>
      </c>
      <c r="AA20" t="s">
        <v>134</v>
      </c>
      <c r="AD20" t="s">
        <v>138</v>
      </c>
      <c r="AG20" s="2">
        <v>45505</v>
      </c>
      <c r="AJ20" s="2">
        <v>45449</v>
      </c>
      <c r="AK20" s="4">
        <v>45475</v>
      </c>
      <c r="AL20" t="s">
        <v>136</v>
      </c>
      <c r="AM20" t="s">
        <v>126</v>
      </c>
      <c r="AN20">
        <v>26</v>
      </c>
      <c r="AO20">
        <v>57</v>
      </c>
      <c r="AP20" s="3">
        <v>4.1666666666666664E-2</v>
      </c>
      <c r="AQ20">
        <f t="shared" si="0"/>
        <v>57</v>
      </c>
      <c r="AR20">
        <f t="shared" si="1"/>
        <v>2024</v>
      </c>
    </row>
    <row r="21" spans="2:44" x14ac:dyDescent="0.25">
      <c r="B21" t="s">
        <v>137</v>
      </c>
      <c r="C21" t="s">
        <v>139</v>
      </c>
      <c r="D21" t="s">
        <v>139</v>
      </c>
      <c r="E21" t="s">
        <v>44</v>
      </c>
      <c r="F21" t="s">
        <v>45</v>
      </c>
      <c r="G21" t="s">
        <v>131</v>
      </c>
      <c r="H21" t="s">
        <v>56</v>
      </c>
      <c r="K21" t="s">
        <v>44</v>
      </c>
      <c r="L21" t="s">
        <v>133</v>
      </c>
      <c r="M21" t="s">
        <v>133</v>
      </c>
      <c r="N21" s="4">
        <v>45448</v>
      </c>
      <c r="O21">
        <v>1</v>
      </c>
      <c r="Q21">
        <v>1</v>
      </c>
      <c r="S21">
        <v>1</v>
      </c>
      <c r="T21">
        <v>0</v>
      </c>
      <c r="U21" t="s">
        <v>50</v>
      </c>
      <c r="AA21" t="s">
        <v>134</v>
      </c>
      <c r="AD21" t="s">
        <v>140</v>
      </c>
      <c r="AG21" s="2">
        <v>45474</v>
      </c>
      <c r="AJ21" s="2">
        <v>45474</v>
      </c>
      <c r="AK21" s="4">
        <v>45498</v>
      </c>
      <c r="AL21" t="s">
        <v>136</v>
      </c>
      <c r="AM21" t="s">
        <v>126</v>
      </c>
      <c r="AN21">
        <v>24</v>
      </c>
      <c r="AO21">
        <v>26</v>
      </c>
      <c r="AP21" s="3">
        <v>4.1666666666666664E-2</v>
      </c>
      <c r="AQ21">
        <f t="shared" si="0"/>
        <v>26</v>
      </c>
      <c r="AR21">
        <f t="shared" si="1"/>
        <v>2024</v>
      </c>
    </row>
    <row r="22" spans="2:44" x14ac:dyDescent="0.25">
      <c r="B22" t="s">
        <v>90</v>
      </c>
      <c r="C22" t="s">
        <v>43</v>
      </c>
      <c r="D22" t="s">
        <v>43</v>
      </c>
      <c r="E22" t="s">
        <v>44</v>
      </c>
      <c r="F22" t="s">
        <v>45</v>
      </c>
      <c r="G22" t="s">
        <v>131</v>
      </c>
      <c r="H22" t="s">
        <v>56</v>
      </c>
      <c r="K22" t="s">
        <v>44</v>
      </c>
      <c r="L22" t="s">
        <v>133</v>
      </c>
      <c r="M22" t="s">
        <v>133</v>
      </c>
      <c r="N22" s="4">
        <v>45383</v>
      </c>
      <c r="O22">
        <v>1</v>
      </c>
      <c r="Q22">
        <v>1</v>
      </c>
      <c r="S22">
        <v>1</v>
      </c>
      <c r="T22">
        <v>0</v>
      </c>
      <c r="U22" t="s">
        <v>50</v>
      </c>
      <c r="AA22" t="s">
        <v>51</v>
      </c>
      <c r="AD22" t="s">
        <v>141</v>
      </c>
      <c r="AG22" s="2">
        <v>45467</v>
      </c>
      <c r="AJ22" s="2">
        <v>45400</v>
      </c>
      <c r="AK22" s="4">
        <v>45426</v>
      </c>
      <c r="AL22" t="s">
        <v>142</v>
      </c>
      <c r="AM22" t="s">
        <v>126</v>
      </c>
      <c r="AN22">
        <v>26</v>
      </c>
      <c r="AO22">
        <v>84</v>
      </c>
      <c r="AP22" s="3">
        <v>4.1666666666666664E-2</v>
      </c>
      <c r="AQ22">
        <f t="shared" si="0"/>
        <v>84</v>
      </c>
      <c r="AR22">
        <f t="shared" si="1"/>
        <v>2024</v>
      </c>
    </row>
    <row r="23" spans="2:44" x14ac:dyDescent="0.25">
      <c r="B23" t="s">
        <v>143</v>
      </c>
      <c r="C23" t="s">
        <v>43</v>
      </c>
      <c r="D23" t="s">
        <v>43</v>
      </c>
      <c r="E23" t="s">
        <v>44</v>
      </c>
      <c r="F23" t="s">
        <v>45</v>
      </c>
      <c r="G23" t="s">
        <v>131</v>
      </c>
      <c r="H23" t="s">
        <v>56</v>
      </c>
      <c r="K23" t="s">
        <v>44</v>
      </c>
      <c r="L23" t="s">
        <v>144</v>
      </c>
      <c r="M23" t="s">
        <v>144</v>
      </c>
      <c r="N23" s="4">
        <v>45498</v>
      </c>
      <c r="O23">
        <v>1</v>
      </c>
      <c r="Q23">
        <v>1</v>
      </c>
      <c r="S23">
        <v>1</v>
      </c>
      <c r="T23">
        <v>0</v>
      </c>
      <c r="U23" t="s">
        <v>50</v>
      </c>
      <c r="AA23" t="s">
        <v>145</v>
      </c>
      <c r="AD23" t="s">
        <v>146</v>
      </c>
      <c r="AE23" t="s">
        <v>147</v>
      </c>
      <c r="AG23" s="2">
        <v>45502</v>
      </c>
      <c r="AJ23" s="2">
        <v>45498</v>
      </c>
      <c r="AK23" s="4">
        <v>45498</v>
      </c>
      <c r="AL23" t="s">
        <v>148</v>
      </c>
      <c r="AM23" t="s">
        <v>126</v>
      </c>
      <c r="AN23">
        <v>0</v>
      </c>
      <c r="AO23">
        <v>4</v>
      </c>
      <c r="AQ23">
        <f t="shared" si="0"/>
        <v>4</v>
      </c>
      <c r="AR23">
        <f t="shared" si="1"/>
        <v>2024</v>
      </c>
    </row>
    <row r="24" spans="2:44" x14ac:dyDescent="0.25">
      <c r="B24" t="s">
        <v>122</v>
      </c>
      <c r="C24" t="s">
        <v>128</v>
      </c>
      <c r="D24" t="s">
        <v>128</v>
      </c>
      <c r="E24" t="s">
        <v>44</v>
      </c>
      <c r="F24" t="s">
        <v>45</v>
      </c>
      <c r="G24" t="s">
        <v>131</v>
      </c>
      <c r="H24" t="s">
        <v>56</v>
      </c>
      <c r="K24" t="s">
        <v>44</v>
      </c>
      <c r="L24" t="s">
        <v>123</v>
      </c>
      <c r="M24" t="s">
        <v>123</v>
      </c>
      <c r="N24" s="4">
        <v>45474</v>
      </c>
      <c r="Q24">
        <v>1</v>
      </c>
      <c r="R24">
        <v>0</v>
      </c>
      <c r="S24">
        <v>1</v>
      </c>
      <c r="T24">
        <v>-1</v>
      </c>
      <c r="U24" t="s">
        <v>50</v>
      </c>
      <c r="AA24" t="s">
        <v>149</v>
      </c>
      <c r="AD24" t="s">
        <v>150</v>
      </c>
      <c r="AG24" s="2">
        <v>45516</v>
      </c>
      <c r="AJ24" s="2">
        <v>45467</v>
      </c>
      <c r="AK24" s="4">
        <v>45504</v>
      </c>
      <c r="AL24" t="s">
        <v>125</v>
      </c>
      <c r="AM24" t="s">
        <v>126</v>
      </c>
      <c r="AN24">
        <v>37</v>
      </c>
      <c r="AO24">
        <v>42</v>
      </c>
      <c r="AQ24">
        <f t="shared" si="0"/>
        <v>42</v>
      </c>
      <c r="AR24">
        <f t="shared" si="1"/>
        <v>2024</v>
      </c>
    </row>
    <row r="25" spans="2:44" x14ac:dyDescent="0.25">
      <c r="B25" t="s">
        <v>151</v>
      </c>
      <c r="C25" t="s">
        <v>128</v>
      </c>
      <c r="D25" t="s">
        <v>128</v>
      </c>
      <c r="E25" t="s">
        <v>55</v>
      </c>
      <c r="F25" t="s">
        <v>45</v>
      </c>
      <c r="G25" t="s">
        <v>46</v>
      </c>
      <c r="H25" t="s">
        <v>47</v>
      </c>
      <c r="L25" t="s">
        <v>123</v>
      </c>
      <c r="M25" t="s">
        <v>123</v>
      </c>
      <c r="T25">
        <v>0</v>
      </c>
      <c r="AM25" t="s">
        <v>126</v>
      </c>
      <c r="AN25">
        <v>0</v>
      </c>
      <c r="AO25" t="b">
        <v>0</v>
      </c>
      <c r="AP25" t="e">
        <v>#VALUE!</v>
      </c>
      <c r="AQ25" t="str">
        <f t="shared" si="0"/>
        <v/>
      </c>
      <c r="AR25">
        <f t="shared" si="1"/>
        <v>1900</v>
      </c>
    </row>
    <row r="26" spans="2:44" x14ac:dyDescent="0.25">
      <c r="B26" t="s">
        <v>152</v>
      </c>
      <c r="C26" t="s">
        <v>128</v>
      </c>
      <c r="D26" t="s">
        <v>128</v>
      </c>
      <c r="E26" t="s">
        <v>55</v>
      </c>
      <c r="F26" t="s">
        <v>45</v>
      </c>
      <c r="G26" t="s">
        <v>131</v>
      </c>
      <c r="H26" t="s">
        <v>56</v>
      </c>
      <c r="K26" t="s">
        <v>153</v>
      </c>
      <c r="L26" t="s">
        <v>123</v>
      </c>
      <c r="M26" t="s">
        <v>123</v>
      </c>
      <c r="N26" s="4">
        <v>45717</v>
      </c>
      <c r="T26">
        <v>0</v>
      </c>
      <c r="U26" t="s">
        <v>50</v>
      </c>
      <c r="AA26" t="s">
        <v>149</v>
      </c>
      <c r="AD26" t="s">
        <v>154</v>
      </c>
      <c r="AE26" t="s">
        <v>155</v>
      </c>
      <c r="AG26" s="2">
        <v>45761</v>
      </c>
      <c r="AJ26" s="2">
        <v>45726</v>
      </c>
      <c r="AK26" s="4">
        <v>45748</v>
      </c>
      <c r="AL26" t="s">
        <v>125</v>
      </c>
      <c r="AM26" t="s">
        <v>102</v>
      </c>
      <c r="AN26">
        <v>22</v>
      </c>
      <c r="AO26">
        <v>44</v>
      </c>
      <c r="AP26" t="s">
        <v>156</v>
      </c>
      <c r="AQ26">
        <f t="shared" si="0"/>
        <v>44</v>
      </c>
      <c r="AR26">
        <f t="shared" si="1"/>
        <v>2025</v>
      </c>
    </row>
    <row r="27" spans="2:44" x14ac:dyDescent="0.25">
      <c r="B27" t="s">
        <v>157</v>
      </c>
      <c r="C27" t="s">
        <v>128</v>
      </c>
      <c r="D27" t="s">
        <v>128</v>
      </c>
      <c r="E27" t="s">
        <v>44</v>
      </c>
      <c r="F27" t="s">
        <v>158</v>
      </c>
      <c r="G27" t="s">
        <v>131</v>
      </c>
      <c r="H27" t="s">
        <v>56</v>
      </c>
      <c r="K27" t="s">
        <v>44</v>
      </c>
      <c r="L27" t="s">
        <v>159</v>
      </c>
      <c r="M27" t="s">
        <v>159</v>
      </c>
      <c r="N27" s="4">
        <v>45441</v>
      </c>
      <c r="T27">
        <v>0</v>
      </c>
      <c r="U27" t="s">
        <v>50</v>
      </c>
      <c r="AA27" t="s">
        <v>160</v>
      </c>
      <c r="AD27" t="s">
        <v>161</v>
      </c>
      <c r="AE27" t="s">
        <v>100</v>
      </c>
      <c r="AG27" s="2">
        <v>45478</v>
      </c>
      <c r="AJ27" s="2">
        <v>45441</v>
      </c>
      <c r="AK27" s="4">
        <v>45469</v>
      </c>
      <c r="AL27" t="s">
        <v>162</v>
      </c>
      <c r="AM27" t="s">
        <v>163</v>
      </c>
      <c r="AN27">
        <v>28</v>
      </c>
      <c r="AO27">
        <v>37</v>
      </c>
      <c r="AP27" t="e">
        <v>#VALUE!</v>
      </c>
      <c r="AQ27">
        <f t="shared" si="0"/>
        <v>37</v>
      </c>
      <c r="AR27">
        <f t="shared" si="1"/>
        <v>2024</v>
      </c>
    </row>
    <row r="28" spans="2:44" x14ac:dyDescent="0.25">
      <c r="B28" t="s">
        <v>164</v>
      </c>
      <c r="C28" t="s">
        <v>43</v>
      </c>
      <c r="D28" t="s">
        <v>43</v>
      </c>
      <c r="E28" t="s">
        <v>44</v>
      </c>
      <c r="F28" t="s">
        <v>158</v>
      </c>
      <c r="G28" t="s">
        <v>131</v>
      </c>
      <c r="H28" t="s">
        <v>56</v>
      </c>
      <c r="K28" t="s">
        <v>44</v>
      </c>
      <c r="L28" t="s">
        <v>159</v>
      </c>
      <c r="M28" t="s">
        <v>59</v>
      </c>
      <c r="N28" s="4">
        <v>45441</v>
      </c>
      <c r="T28">
        <v>0</v>
      </c>
      <c r="U28" t="s">
        <v>165</v>
      </c>
      <c r="AA28" t="s">
        <v>149</v>
      </c>
      <c r="AD28" t="s">
        <v>166</v>
      </c>
      <c r="AE28" t="s">
        <v>100</v>
      </c>
      <c r="AG28" s="2">
        <v>45482</v>
      </c>
      <c r="AJ28" s="2">
        <v>45454</v>
      </c>
      <c r="AK28" s="4">
        <v>45475</v>
      </c>
      <c r="AL28" t="s">
        <v>167</v>
      </c>
      <c r="AM28" t="s">
        <v>163</v>
      </c>
      <c r="AN28">
        <v>21</v>
      </c>
      <c r="AO28">
        <v>41</v>
      </c>
      <c r="AP28" t="e">
        <v>#VALUE!</v>
      </c>
      <c r="AQ28">
        <f t="shared" si="0"/>
        <v>41</v>
      </c>
      <c r="AR28">
        <f t="shared" si="1"/>
        <v>2024</v>
      </c>
    </row>
    <row r="29" spans="2:44" x14ac:dyDescent="0.25">
      <c r="B29" t="s">
        <v>157</v>
      </c>
      <c r="C29" t="s">
        <v>139</v>
      </c>
      <c r="D29" t="s">
        <v>139</v>
      </c>
      <c r="E29" t="s">
        <v>44</v>
      </c>
      <c r="F29" t="s">
        <v>158</v>
      </c>
      <c r="G29" t="s">
        <v>131</v>
      </c>
      <c r="H29" t="s">
        <v>47</v>
      </c>
      <c r="I29" t="s">
        <v>168</v>
      </c>
      <c r="K29" t="s">
        <v>44</v>
      </c>
      <c r="L29" t="s">
        <v>159</v>
      </c>
      <c r="M29" t="s">
        <v>59</v>
      </c>
      <c r="N29" s="4">
        <v>45453</v>
      </c>
      <c r="T29">
        <v>0</v>
      </c>
      <c r="U29" t="s">
        <v>165</v>
      </c>
      <c r="AA29" t="s">
        <v>51</v>
      </c>
      <c r="AD29" t="s">
        <v>169</v>
      </c>
      <c r="AE29" t="s">
        <v>100</v>
      </c>
      <c r="AG29" s="2">
        <v>45488</v>
      </c>
      <c r="AJ29" s="2">
        <v>45453</v>
      </c>
      <c r="AK29" s="4">
        <v>45482</v>
      </c>
      <c r="AL29" t="s">
        <v>170</v>
      </c>
      <c r="AM29" t="s">
        <v>163</v>
      </c>
      <c r="AN29">
        <v>29</v>
      </c>
      <c r="AO29">
        <v>35</v>
      </c>
      <c r="AP29" t="e">
        <v>#VALUE!</v>
      </c>
      <c r="AQ29">
        <f t="shared" si="0"/>
        <v>35</v>
      </c>
      <c r="AR29">
        <f t="shared" si="1"/>
        <v>2024</v>
      </c>
    </row>
    <row r="30" spans="2:44" x14ac:dyDescent="0.25">
      <c r="B30" t="s">
        <v>171</v>
      </c>
      <c r="C30" t="s">
        <v>43</v>
      </c>
      <c r="D30" t="s">
        <v>43</v>
      </c>
      <c r="E30" t="s">
        <v>44</v>
      </c>
      <c r="F30" t="s">
        <v>158</v>
      </c>
      <c r="G30" t="s">
        <v>131</v>
      </c>
      <c r="H30" t="s">
        <v>56</v>
      </c>
      <c r="K30" t="s">
        <v>44</v>
      </c>
      <c r="L30" t="s">
        <v>159</v>
      </c>
      <c r="M30" t="s">
        <v>59</v>
      </c>
      <c r="N30" s="4">
        <v>45477</v>
      </c>
      <c r="T30">
        <v>0</v>
      </c>
      <c r="U30" t="s">
        <v>50</v>
      </c>
      <c r="AA30" t="s">
        <v>160</v>
      </c>
      <c r="AD30" t="s">
        <v>172</v>
      </c>
      <c r="AE30" t="s">
        <v>100</v>
      </c>
      <c r="AG30" s="2">
        <v>45488</v>
      </c>
      <c r="AJ30" s="2">
        <v>45477</v>
      </c>
      <c r="AK30" s="4">
        <v>45485</v>
      </c>
      <c r="AL30" t="s">
        <v>167</v>
      </c>
      <c r="AM30" t="s">
        <v>163</v>
      </c>
      <c r="AN30">
        <v>8</v>
      </c>
      <c r="AO30">
        <v>11</v>
      </c>
      <c r="AQ30">
        <f t="shared" si="0"/>
        <v>11</v>
      </c>
      <c r="AR30">
        <f t="shared" si="1"/>
        <v>2024</v>
      </c>
    </row>
    <row r="31" spans="2:44" x14ac:dyDescent="0.25">
      <c r="B31" t="s">
        <v>173</v>
      </c>
      <c r="C31" t="s">
        <v>43</v>
      </c>
      <c r="D31" t="s">
        <v>43</v>
      </c>
      <c r="E31" t="s">
        <v>44</v>
      </c>
      <c r="F31" t="s">
        <v>45</v>
      </c>
      <c r="G31" t="s">
        <v>131</v>
      </c>
      <c r="H31" t="s">
        <v>47</v>
      </c>
      <c r="I31" t="s">
        <v>174</v>
      </c>
      <c r="K31" t="s">
        <v>44</v>
      </c>
      <c r="L31" t="s">
        <v>175</v>
      </c>
      <c r="M31" t="s">
        <v>175</v>
      </c>
      <c r="N31" s="4">
        <v>45481</v>
      </c>
      <c r="T31">
        <v>0</v>
      </c>
      <c r="U31" t="s">
        <v>50</v>
      </c>
      <c r="AL31" t="s">
        <v>176</v>
      </c>
      <c r="AM31" t="s">
        <v>177</v>
      </c>
      <c r="AN31">
        <v>0</v>
      </c>
      <c r="AO31">
        <v>-45481</v>
      </c>
      <c r="AP31" t="s">
        <v>156</v>
      </c>
      <c r="AQ31" t="str">
        <f t="shared" si="0"/>
        <v/>
      </c>
      <c r="AR31">
        <f t="shared" si="1"/>
        <v>2024</v>
      </c>
    </row>
    <row r="32" spans="2:44" x14ac:dyDescent="0.25">
      <c r="B32" t="s">
        <v>178</v>
      </c>
      <c r="C32" t="s">
        <v>43</v>
      </c>
      <c r="D32" t="s">
        <v>43</v>
      </c>
      <c r="E32" t="s">
        <v>44</v>
      </c>
      <c r="F32" t="s">
        <v>45</v>
      </c>
      <c r="G32" t="s">
        <v>131</v>
      </c>
      <c r="H32" t="s">
        <v>47</v>
      </c>
      <c r="I32" t="s">
        <v>179</v>
      </c>
      <c r="K32" t="s">
        <v>44</v>
      </c>
      <c r="L32" t="s">
        <v>175</v>
      </c>
      <c r="M32" t="s">
        <v>175</v>
      </c>
      <c r="N32" s="4">
        <v>45497</v>
      </c>
      <c r="T32">
        <v>0</v>
      </c>
      <c r="U32" t="s">
        <v>50</v>
      </c>
      <c r="AA32" t="s">
        <v>149</v>
      </c>
      <c r="AD32" t="s">
        <v>180</v>
      </c>
      <c r="AE32" t="s">
        <v>100</v>
      </c>
      <c r="AG32" s="2">
        <v>45589</v>
      </c>
      <c r="AJ32" s="2">
        <v>45531</v>
      </c>
      <c r="AK32" s="4">
        <v>45559</v>
      </c>
      <c r="AL32" t="s">
        <v>181</v>
      </c>
      <c r="AM32" t="s">
        <v>177</v>
      </c>
      <c r="AN32">
        <v>28</v>
      </c>
      <c r="AO32">
        <v>92</v>
      </c>
      <c r="AQ32">
        <f t="shared" si="0"/>
        <v>92</v>
      </c>
      <c r="AR32">
        <f t="shared" si="1"/>
        <v>2024</v>
      </c>
    </row>
    <row r="33" spans="2:44" x14ac:dyDescent="0.25">
      <c r="B33" t="s">
        <v>182</v>
      </c>
      <c r="C33" t="s">
        <v>43</v>
      </c>
      <c r="D33" t="s">
        <v>43</v>
      </c>
      <c r="E33" t="s">
        <v>44</v>
      </c>
      <c r="F33" t="s">
        <v>45</v>
      </c>
      <c r="G33" t="s">
        <v>131</v>
      </c>
      <c r="H33" t="s">
        <v>47</v>
      </c>
      <c r="I33" t="s">
        <v>183</v>
      </c>
      <c r="K33" t="s">
        <v>44</v>
      </c>
      <c r="L33" t="s">
        <v>175</v>
      </c>
      <c r="M33" t="s">
        <v>175</v>
      </c>
      <c r="N33" s="4">
        <v>45504</v>
      </c>
      <c r="T33">
        <v>0</v>
      </c>
      <c r="U33" t="s">
        <v>50</v>
      </c>
      <c r="AA33" t="s">
        <v>184</v>
      </c>
      <c r="AD33" t="s">
        <v>185</v>
      </c>
      <c r="AE33" t="s">
        <v>100</v>
      </c>
      <c r="AG33" s="2">
        <v>45574</v>
      </c>
      <c r="AJ33" s="2">
        <v>45554</v>
      </c>
      <c r="AK33" s="4">
        <v>45568</v>
      </c>
      <c r="AL33" t="s">
        <v>181</v>
      </c>
      <c r="AM33" t="s">
        <v>177</v>
      </c>
      <c r="AN33">
        <v>14</v>
      </c>
      <c r="AO33">
        <v>70</v>
      </c>
      <c r="AQ33">
        <f t="shared" si="0"/>
        <v>70</v>
      </c>
      <c r="AR33">
        <f t="shared" si="1"/>
        <v>2024</v>
      </c>
    </row>
    <row r="34" spans="2:44" x14ac:dyDescent="0.25">
      <c r="B34" t="s">
        <v>186</v>
      </c>
      <c r="C34" t="s">
        <v>43</v>
      </c>
      <c r="D34" t="s">
        <v>43</v>
      </c>
      <c r="E34" t="s">
        <v>44</v>
      </c>
      <c r="H34" t="s">
        <v>56</v>
      </c>
      <c r="K34" t="s">
        <v>44</v>
      </c>
      <c r="L34" t="s">
        <v>175</v>
      </c>
      <c r="M34" t="s">
        <v>175</v>
      </c>
      <c r="N34" s="4">
        <v>45551</v>
      </c>
      <c r="T34">
        <v>0</v>
      </c>
      <c r="U34" t="s">
        <v>50</v>
      </c>
      <c r="AL34" t="s">
        <v>187</v>
      </c>
      <c r="AM34" t="s">
        <v>177</v>
      </c>
      <c r="AN34">
        <v>0</v>
      </c>
      <c r="AO34">
        <v>-45551</v>
      </c>
      <c r="AP34" t="s">
        <v>156</v>
      </c>
      <c r="AQ34" t="str">
        <f t="shared" si="0"/>
        <v/>
      </c>
      <c r="AR34">
        <f t="shared" si="1"/>
        <v>2024</v>
      </c>
    </row>
    <row r="35" spans="2:44" x14ac:dyDescent="0.25">
      <c r="B35" t="s">
        <v>188</v>
      </c>
      <c r="C35" t="s">
        <v>43</v>
      </c>
      <c r="D35" t="s">
        <v>43</v>
      </c>
      <c r="E35" t="s">
        <v>44</v>
      </c>
      <c r="F35" t="s">
        <v>45</v>
      </c>
      <c r="G35" t="s">
        <v>131</v>
      </c>
      <c r="H35" t="s">
        <v>47</v>
      </c>
      <c r="I35" t="s">
        <v>94</v>
      </c>
      <c r="K35" t="s">
        <v>44</v>
      </c>
      <c r="L35" t="s">
        <v>175</v>
      </c>
      <c r="M35" t="s">
        <v>175</v>
      </c>
      <c r="N35" s="4">
        <v>45481</v>
      </c>
      <c r="T35">
        <v>0</v>
      </c>
      <c r="U35" t="s">
        <v>50</v>
      </c>
      <c r="AA35" t="s">
        <v>51</v>
      </c>
      <c r="AD35" t="s">
        <v>189</v>
      </c>
      <c r="AE35" t="s">
        <v>100</v>
      </c>
      <c r="AG35" s="2">
        <v>45505</v>
      </c>
      <c r="AJ35" s="2">
        <v>45417</v>
      </c>
      <c r="AK35" s="4">
        <v>45483</v>
      </c>
      <c r="AL35" t="s">
        <v>190</v>
      </c>
      <c r="AM35" t="s">
        <v>191</v>
      </c>
      <c r="AN35">
        <v>66</v>
      </c>
      <c r="AO35">
        <v>24</v>
      </c>
      <c r="AQ35">
        <f t="shared" si="0"/>
        <v>24</v>
      </c>
      <c r="AR35">
        <f t="shared" si="1"/>
        <v>2024</v>
      </c>
    </row>
    <row r="36" spans="2:44" x14ac:dyDescent="0.25">
      <c r="B36" t="s">
        <v>192</v>
      </c>
      <c r="C36" t="s">
        <v>43</v>
      </c>
      <c r="D36" t="s">
        <v>43</v>
      </c>
      <c r="E36" t="s">
        <v>44</v>
      </c>
      <c r="F36" t="s">
        <v>158</v>
      </c>
      <c r="G36" t="s">
        <v>131</v>
      </c>
      <c r="H36" t="s">
        <v>56</v>
      </c>
      <c r="K36" t="s">
        <v>44</v>
      </c>
      <c r="L36" t="s">
        <v>159</v>
      </c>
      <c r="M36" t="s">
        <v>59</v>
      </c>
      <c r="N36" s="4">
        <v>45420</v>
      </c>
      <c r="T36">
        <v>0</v>
      </c>
      <c r="U36" t="s">
        <v>50</v>
      </c>
      <c r="AA36" t="s">
        <v>193</v>
      </c>
      <c r="AD36" t="s">
        <v>194</v>
      </c>
      <c r="AE36" t="s">
        <v>100</v>
      </c>
      <c r="AG36" s="2">
        <v>45502</v>
      </c>
      <c r="AJ36" s="2">
        <v>45442</v>
      </c>
      <c r="AK36" s="4">
        <v>45496</v>
      </c>
      <c r="AL36" t="s">
        <v>195</v>
      </c>
      <c r="AM36" t="s">
        <v>163</v>
      </c>
      <c r="AN36">
        <v>54</v>
      </c>
      <c r="AO36">
        <v>82</v>
      </c>
      <c r="AP36" t="e">
        <v>#VALUE!</v>
      </c>
      <c r="AQ36">
        <f t="shared" si="0"/>
        <v>82</v>
      </c>
      <c r="AR36">
        <f t="shared" si="1"/>
        <v>2024</v>
      </c>
    </row>
    <row r="37" spans="2:44" x14ac:dyDescent="0.25">
      <c r="B37" t="s">
        <v>196</v>
      </c>
      <c r="C37" t="s">
        <v>43</v>
      </c>
      <c r="D37" t="s">
        <v>43</v>
      </c>
      <c r="E37" t="s">
        <v>55</v>
      </c>
      <c r="F37" t="s">
        <v>158</v>
      </c>
      <c r="G37" t="s">
        <v>131</v>
      </c>
      <c r="H37" t="s">
        <v>56</v>
      </c>
      <c r="K37" t="s">
        <v>197</v>
      </c>
      <c r="L37" t="s">
        <v>159</v>
      </c>
      <c r="M37" t="s">
        <v>59</v>
      </c>
      <c r="N37" s="4">
        <v>45421</v>
      </c>
      <c r="T37">
        <v>0</v>
      </c>
      <c r="U37" t="s">
        <v>50</v>
      </c>
      <c r="AA37" t="s">
        <v>51</v>
      </c>
      <c r="AD37" t="s">
        <v>198</v>
      </c>
      <c r="AE37" t="s">
        <v>199</v>
      </c>
      <c r="AG37" s="2">
        <v>45505</v>
      </c>
      <c r="AJ37" s="2">
        <v>45421</v>
      </c>
      <c r="AK37" s="4">
        <v>45468</v>
      </c>
      <c r="AL37" t="s">
        <v>200</v>
      </c>
      <c r="AM37" t="s">
        <v>163</v>
      </c>
      <c r="AN37">
        <v>47</v>
      </c>
      <c r="AO37">
        <v>84</v>
      </c>
      <c r="AP37" t="e">
        <v>#VALUE!</v>
      </c>
      <c r="AQ37">
        <f t="shared" si="0"/>
        <v>84</v>
      </c>
      <c r="AR37">
        <f t="shared" si="1"/>
        <v>2024</v>
      </c>
    </row>
    <row r="38" spans="2:44" x14ac:dyDescent="0.25">
      <c r="B38" t="s">
        <v>157</v>
      </c>
      <c r="C38" t="s">
        <v>43</v>
      </c>
      <c r="D38" t="s">
        <v>43</v>
      </c>
      <c r="E38" t="s">
        <v>44</v>
      </c>
      <c r="F38" t="s">
        <v>158</v>
      </c>
      <c r="G38" t="s">
        <v>131</v>
      </c>
      <c r="H38" t="s">
        <v>56</v>
      </c>
      <c r="K38" t="s">
        <v>44</v>
      </c>
      <c r="L38" t="s">
        <v>159</v>
      </c>
      <c r="M38" t="s">
        <v>59</v>
      </c>
      <c r="N38" s="4">
        <v>45454</v>
      </c>
      <c r="T38">
        <v>0</v>
      </c>
      <c r="U38" t="s">
        <v>50</v>
      </c>
      <c r="AA38" t="s">
        <v>51</v>
      </c>
      <c r="AD38" t="s">
        <v>201</v>
      </c>
      <c r="AE38" t="s">
        <v>100</v>
      </c>
      <c r="AG38" s="2">
        <v>45505</v>
      </c>
      <c r="AJ38" s="2">
        <v>45463</v>
      </c>
      <c r="AK38" s="4">
        <v>45474</v>
      </c>
      <c r="AL38" t="s">
        <v>202</v>
      </c>
      <c r="AM38" t="s">
        <v>163</v>
      </c>
      <c r="AN38">
        <v>11</v>
      </c>
      <c r="AO38">
        <v>51</v>
      </c>
      <c r="AP38" t="e">
        <v>#VALUE!</v>
      </c>
      <c r="AQ38">
        <f t="shared" si="0"/>
        <v>51</v>
      </c>
      <c r="AR38">
        <f t="shared" si="1"/>
        <v>2024</v>
      </c>
    </row>
    <row r="39" spans="2:44" x14ac:dyDescent="0.25">
      <c r="B39" t="s">
        <v>203</v>
      </c>
      <c r="C39" t="s">
        <v>43</v>
      </c>
      <c r="D39" t="s">
        <v>43</v>
      </c>
      <c r="E39" t="s">
        <v>44</v>
      </c>
      <c r="F39" t="s">
        <v>158</v>
      </c>
      <c r="G39" t="s">
        <v>131</v>
      </c>
      <c r="H39" t="s">
        <v>56</v>
      </c>
      <c r="K39" t="s">
        <v>44</v>
      </c>
      <c r="L39" t="s">
        <v>159</v>
      </c>
      <c r="M39" t="s">
        <v>59</v>
      </c>
      <c r="N39" s="4">
        <v>45441</v>
      </c>
      <c r="T39">
        <v>0</v>
      </c>
      <c r="U39" t="s">
        <v>50</v>
      </c>
      <c r="AA39" t="s">
        <v>51</v>
      </c>
      <c r="AD39" t="s">
        <v>204</v>
      </c>
      <c r="AE39" t="s">
        <v>100</v>
      </c>
      <c r="AG39" s="2">
        <v>45505</v>
      </c>
      <c r="AJ39" s="2">
        <v>45454</v>
      </c>
      <c r="AK39" s="4">
        <v>45475</v>
      </c>
      <c r="AL39" t="s">
        <v>167</v>
      </c>
      <c r="AM39" t="s">
        <v>163</v>
      </c>
      <c r="AN39">
        <v>21</v>
      </c>
      <c r="AO39">
        <v>64</v>
      </c>
      <c r="AP39" t="e">
        <v>#VALUE!</v>
      </c>
      <c r="AQ39">
        <f t="shared" si="0"/>
        <v>64</v>
      </c>
      <c r="AR39">
        <f t="shared" si="1"/>
        <v>2024</v>
      </c>
    </row>
    <row r="40" spans="2:44" x14ac:dyDescent="0.25">
      <c r="B40" t="s">
        <v>205</v>
      </c>
      <c r="C40" t="s">
        <v>43</v>
      </c>
      <c r="D40" t="s">
        <v>43</v>
      </c>
      <c r="E40" t="s">
        <v>44</v>
      </c>
      <c r="F40" t="s">
        <v>158</v>
      </c>
      <c r="G40" t="s">
        <v>206</v>
      </c>
      <c r="H40" t="s">
        <v>56</v>
      </c>
      <c r="K40" t="s">
        <v>44</v>
      </c>
      <c r="L40" t="s">
        <v>159</v>
      </c>
      <c r="M40" t="s">
        <v>59</v>
      </c>
      <c r="N40" s="4">
        <v>45476</v>
      </c>
      <c r="T40">
        <v>0</v>
      </c>
      <c r="U40" t="s">
        <v>50</v>
      </c>
      <c r="AA40" t="s">
        <v>51</v>
      </c>
      <c r="AD40" t="s">
        <v>207</v>
      </c>
      <c r="AE40" t="s">
        <v>100</v>
      </c>
      <c r="AG40" s="2">
        <v>45505</v>
      </c>
      <c r="AJ40" s="2">
        <v>45476</v>
      </c>
      <c r="AK40" s="4">
        <v>45496</v>
      </c>
      <c r="AL40" t="s">
        <v>62</v>
      </c>
      <c r="AM40" t="s">
        <v>208</v>
      </c>
      <c r="AN40">
        <v>20</v>
      </c>
      <c r="AO40">
        <v>29</v>
      </c>
      <c r="AQ40">
        <f t="shared" si="0"/>
        <v>29</v>
      </c>
      <c r="AR40">
        <f t="shared" si="1"/>
        <v>2024</v>
      </c>
    </row>
    <row r="41" spans="2:44" x14ac:dyDescent="0.25">
      <c r="B41" t="s">
        <v>209</v>
      </c>
      <c r="C41" t="s">
        <v>43</v>
      </c>
      <c r="D41" t="s">
        <v>43</v>
      </c>
      <c r="E41" t="s">
        <v>55</v>
      </c>
      <c r="F41" t="s">
        <v>158</v>
      </c>
      <c r="G41" t="s">
        <v>131</v>
      </c>
      <c r="H41" t="s">
        <v>47</v>
      </c>
      <c r="I41" t="s">
        <v>210</v>
      </c>
      <c r="K41" t="s">
        <v>197</v>
      </c>
      <c r="L41" t="s">
        <v>211</v>
      </c>
      <c r="M41" t="s">
        <v>211</v>
      </c>
      <c r="N41" s="4">
        <v>45407</v>
      </c>
      <c r="T41">
        <v>0</v>
      </c>
      <c r="U41" t="s">
        <v>114</v>
      </c>
      <c r="AA41" t="s">
        <v>51</v>
      </c>
      <c r="AD41" t="s">
        <v>212</v>
      </c>
      <c r="AE41" t="s">
        <v>199</v>
      </c>
      <c r="AG41" s="2">
        <v>45575</v>
      </c>
      <c r="AJ41" s="2">
        <v>45532</v>
      </c>
      <c r="AK41" s="4">
        <v>45545</v>
      </c>
      <c r="AL41" t="s">
        <v>213</v>
      </c>
      <c r="AM41" t="s">
        <v>163</v>
      </c>
      <c r="AN41">
        <v>0</v>
      </c>
      <c r="AO41">
        <v>614</v>
      </c>
      <c r="AP41" t="e">
        <v>#VALUE!</v>
      </c>
      <c r="AQ41" t="str">
        <f t="shared" si="0"/>
        <v/>
      </c>
      <c r="AR41">
        <f t="shared" si="1"/>
        <v>2024</v>
      </c>
    </row>
    <row r="42" spans="2:44" x14ac:dyDescent="0.25">
      <c r="B42" t="s">
        <v>214</v>
      </c>
      <c r="C42" t="s">
        <v>43</v>
      </c>
      <c r="D42" t="s">
        <v>43</v>
      </c>
      <c r="E42" t="s">
        <v>44</v>
      </c>
      <c r="F42" t="s">
        <v>158</v>
      </c>
      <c r="G42" t="s">
        <v>131</v>
      </c>
      <c r="H42" t="s">
        <v>56</v>
      </c>
      <c r="K42" t="s">
        <v>44</v>
      </c>
      <c r="L42" t="s">
        <v>159</v>
      </c>
      <c r="M42" t="s">
        <v>59</v>
      </c>
      <c r="T42">
        <v>0</v>
      </c>
      <c r="U42" t="s">
        <v>114</v>
      </c>
      <c r="AM42" t="s">
        <v>163</v>
      </c>
      <c r="AN42">
        <v>0</v>
      </c>
      <c r="AO42">
        <v>46021</v>
      </c>
      <c r="AP42" t="e">
        <v>#VALUE!</v>
      </c>
      <c r="AQ42" t="str">
        <f t="shared" si="0"/>
        <v/>
      </c>
      <c r="AR42">
        <f t="shared" si="1"/>
        <v>1900</v>
      </c>
    </row>
    <row r="43" spans="2:44" x14ac:dyDescent="0.25">
      <c r="B43" t="s">
        <v>215</v>
      </c>
      <c r="C43" t="s">
        <v>43</v>
      </c>
      <c r="D43" t="s">
        <v>43</v>
      </c>
      <c r="E43" t="s">
        <v>44</v>
      </c>
      <c r="F43" t="s">
        <v>158</v>
      </c>
      <c r="G43" t="s">
        <v>131</v>
      </c>
      <c r="H43" t="s">
        <v>56</v>
      </c>
      <c r="K43" t="s">
        <v>44</v>
      </c>
      <c r="L43" t="s">
        <v>159</v>
      </c>
      <c r="M43" t="s">
        <v>59</v>
      </c>
      <c r="N43" s="4">
        <v>45457</v>
      </c>
      <c r="T43">
        <v>0</v>
      </c>
      <c r="U43" t="s">
        <v>216</v>
      </c>
      <c r="AM43" t="s">
        <v>163</v>
      </c>
      <c r="AN43">
        <v>0</v>
      </c>
      <c r="AO43">
        <v>564</v>
      </c>
      <c r="AP43" t="e">
        <v>#VALUE!</v>
      </c>
      <c r="AQ43" t="str">
        <f t="shared" si="0"/>
        <v/>
      </c>
      <c r="AR43">
        <f t="shared" si="1"/>
        <v>2024</v>
      </c>
    </row>
    <row r="44" spans="2:44" x14ac:dyDescent="0.25">
      <c r="B44" t="s">
        <v>143</v>
      </c>
      <c r="C44" t="s">
        <v>43</v>
      </c>
      <c r="D44" t="s">
        <v>43</v>
      </c>
      <c r="E44" t="s">
        <v>44</v>
      </c>
      <c r="F44" t="s">
        <v>158</v>
      </c>
      <c r="G44" t="s">
        <v>131</v>
      </c>
      <c r="H44" t="s">
        <v>47</v>
      </c>
      <c r="L44" t="s">
        <v>144</v>
      </c>
      <c r="M44" t="s">
        <v>144</v>
      </c>
      <c r="N44" s="4">
        <v>45497</v>
      </c>
      <c r="T44">
        <v>0</v>
      </c>
      <c r="U44" t="s">
        <v>50</v>
      </c>
      <c r="AA44" t="s">
        <v>145</v>
      </c>
      <c r="AD44" t="s">
        <v>217</v>
      </c>
      <c r="AG44" s="2">
        <v>45498</v>
      </c>
      <c r="AJ44" s="2">
        <v>45444</v>
      </c>
      <c r="AK44" s="4">
        <v>45497</v>
      </c>
      <c r="AL44" t="s">
        <v>218</v>
      </c>
      <c r="AM44" t="s">
        <v>126</v>
      </c>
      <c r="AN44">
        <v>53</v>
      </c>
      <c r="AO44">
        <v>1</v>
      </c>
      <c r="AQ44">
        <f t="shared" si="0"/>
        <v>1</v>
      </c>
      <c r="AR44">
        <f t="shared" si="1"/>
        <v>2024</v>
      </c>
    </row>
    <row r="45" spans="2:44" x14ac:dyDescent="0.25">
      <c r="B45" t="s">
        <v>143</v>
      </c>
      <c r="C45" t="s">
        <v>43</v>
      </c>
      <c r="D45" t="s">
        <v>43</v>
      </c>
      <c r="E45" t="s">
        <v>44</v>
      </c>
      <c r="F45" t="s">
        <v>158</v>
      </c>
      <c r="G45" t="s">
        <v>131</v>
      </c>
      <c r="H45" t="s">
        <v>47</v>
      </c>
      <c r="L45" t="s">
        <v>144</v>
      </c>
      <c r="M45" t="s">
        <v>144</v>
      </c>
      <c r="N45" s="4">
        <v>45491</v>
      </c>
      <c r="U45" t="s">
        <v>50</v>
      </c>
      <c r="AA45" t="s">
        <v>145</v>
      </c>
      <c r="AD45" t="s">
        <v>219</v>
      </c>
      <c r="AG45" s="2">
        <v>45509</v>
      </c>
      <c r="AJ45" s="2">
        <v>45444</v>
      </c>
      <c r="AK45" s="4">
        <v>45491</v>
      </c>
      <c r="AL45" t="s">
        <v>218</v>
      </c>
      <c r="AM45" t="s">
        <v>126</v>
      </c>
      <c r="AN45">
        <v>47</v>
      </c>
      <c r="AO45">
        <v>18</v>
      </c>
      <c r="AQ45">
        <f t="shared" si="0"/>
        <v>18</v>
      </c>
      <c r="AR45">
        <f t="shared" si="1"/>
        <v>2024</v>
      </c>
    </row>
    <row r="46" spans="2:44" x14ac:dyDescent="0.25">
      <c r="B46" t="s">
        <v>143</v>
      </c>
      <c r="C46" t="s">
        <v>43</v>
      </c>
      <c r="D46" t="s">
        <v>43</v>
      </c>
      <c r="E46" t="s">
        <v>44</v>
      </c>
      <c r="F46" t="s">
        <v>158</v>
      </c>
      <c r="G46" t="s">
        <v>131</v>
      </c>
      <c r="H46" t="s">
        <v>47</v>
      </c>
      <c r="L46" t="s">
        <v>144</v>
      </c>
      <c r="M46" t="s">
        <v>144</v>
      </c>
      <c r="N46" s="4">
        <v>45497</v>
      </c>
      <c r="U46" t="s">
        <v>50</v>
      </c>
      <c r="AA46" t="s">
        <v>145</v>
      </c>
      <c r="AD46" t="s">
        <v>146</v>
      </c>
      <c r="AG46" s="2">
        <v>45502</v>
      </c>
      <c r="AJ46" s="2">
        <v>45444</v>
      </c>
      <c r="AK46" s="4">
        <v>45497</v>
      </c>
      <c r="AL46" t="s">
        <v>218</v>
      </c>
      <c r="AM46" t="s">
        <v>126</v>
      </c>
      <c r="AN46">
        <v>53</v>
      </c>
      <c r="AO46">
        <v>5</v>
      </c>
      <c r="AQ46">
        <f t="shared" si="0"/>
        <v>5</v>
      </c>
      <c r="AR46">
        <f t="shared" si="1"/>
        <v>2024</v>
      </c>
    </row>
    <row r="47" spans="2:44" x14ac:dyDescent="0.25">
      <c r="B47" t="s">
        <v>220</v>
      </c>
      <c r="C47" t="s">
        <v>43</v>
      </c>
      <c r="D47" t="s">
        <v>43</v>
      </c>
      <c r="E47" t="s">
        <v>44</v>
      </c>
      <c r="F47" t="s">
        <v>158</v>
      </c>
      <c r="G47" t="s">
        <v>221</v>
      </c>
      <c r="H47" t="s">
        <v>47</v>
      </c>
      <c r="I47" t="s">
        <v>222</v>
      </c>
      <c r="L47" t="s">
        <v>144</v>
      </c>
      <c r="M47" t="s">
        <v>144</v>
      </c>
      <c r="N47" s="4">
        <v>45447</v>
      </c>
      <c r="U47" t="s">
        <v>223</v>
      </c>
      <c r="AA47" t="s">
        <v>145</v>
      </c>
      <c r="AD47" t="s">
        <v>224</v>
      </c>
      <c r="AG47" s="2">
        <v>45482</v>
      </c>
      <c r="AJ47" s="2">
        <v>45444</v>
      </c>
      <c r="AK47" s="4">
        <v>45480</v>
      </c>
      <c r="AL47" t="s">
        <v>225</v>
      </c>
      <c r="AM47" t="s">
        <v>126</v>
      </c>
      <c r="AN47">
        <v>0</v>
      </c>
      <c r="AO47" t="b">
        <v>0</v>
      </c>
      <c r="AQ47" t="str">
        <f t="shared" si="0"/>
        <v/>
      </c>
      <c r="AR47">
        <f t="shared" si="1"/>
        <v>2024</v>
      </c>
    </row>
    <row r="48" spans="2:44" x14ac:dyDescent="0.25">
      <c r="B48" t="s">
        <v>122</v>
      </c>
      <c r="C48" t="s">
        <v>128</v>
      </c>
      <c r="D48" t="s">
        <v>128</v>
      </c>
      <c r="E48" t="s">
        <v>44</v>
      </c>
      <c r="F48" t="s">
        <v>45</v>
      </c>
      <c r="G48" t="s">
        <v>131</v>
      </c>
      <c r="H48" t="s">
        <v>56</v>
      </c>
      <c r="K48" t="s">
        <v>44</v>
      </c>
      <c r="L48" t="s">
        <v>123</v>
      </c>
      <c r="M48" t="s">
        <v>123</v>
      </c>
      <c r="N48" s="4">
        <v>45474</v>
      </c>
      <c r="Q48">
        <v>1</v>
      </c>
      <c r="R48">
        <v>0</v>
      </c>
      <c r="S48">
        <v>1</v>
      </c>
      <c r="U48" t="s">
        <v>50</v>
      </c>
      <c r="AA48" t="s">
        <v>149</v>
      </c>
      <c r="AD48" t="s">
        <v>226</v>
      </c>
      <c r="AG48" s="2">
        <v>45516</v>
      </c>
      <c r="AJ48" s="2">
        <v>45467</v>
      </c>
      <c r="AK48" s="4">
        <v>45504</v>
      </c>
      <c r="AL48" t="s">
        <v>125</v>
      </c>
      <c r="AM48" t="s">
        <v>126</v>
      </c>
      <c r="AN48">
        <v>37</v>
      </c>
      <c r="AO48">
        <v>42</v>
      </c>
      <c r="AQ48">
        <f t="shared" si="0"/>
        <v>42</v>
      </c>
      <c r="AR48">
        <f t="shared" si="1"/>
        <v>2024</v>
      </c>
    </row>
    <row r="49" spans="2:44" x14ac:dyDescent="0.25">
      <c r="B49" t="s">
        <v>122</v>
      </c>
      <c r="C49" t="s">
        <v>128</v>
      </c>
      <c r="D49" t="s">
        <v>128</v>
      </c>
      <c r="E49" t="s">
        <v>44</v>
      </c>
      <c r="F49" t="s">
        <v>158</v>
      </c>
      <c r="G49" t="s">
        <v>131</v>
      </c>
      <c r="H49" t="s">
        <v>56</v>
      </c>
      <c r="K49" t="s">
        <v>44</v>
      </c>
      <c r="L49" t="s">
        <v>123</v>
      </c>
      <c r="M49" t="s">
        <v>123</v>
      </c>
      <c r="N49" s="4">
        <v>45505</v>
      </c>
      <c r="Q49">
        <v>1</v>
      </c>
      <c r="S49">
        <v>1</v>
      </c>
      <c r="U49" t="s">
        <v>50</v>
      </c>
      <c r="AA49" t="s">
        <v>227</v>
      </c>
      <c r="AM49" t="s">
        <v>126</v>
      </c>
      <c r="AN49">
        <v>0</v>
      </c>
      <c r="AO49">
        <v>-45505</v>
      </c>
      <c r="AP49" t="s">
        <v>156</v>
      </c>
      <c r="AQ49" t="str">
        <f t="shared" si="0"/>
        <v/>
      </c>
      <c r="AR49">
        <f t="shared" si="1"/>
        <v>2024</v>
      </c>
    </row>
    <row r="50" spans="2:44" x14ac:dyDescent="0.25">
      <c r="B50" t="s">
        <v>228</v>
      </c>
      <c r="K50" t="s">
        <v>44</v>
      </c>
      <c r="L50" t="s">
        <v>144</v>
      </c>
      <c r="M50" t="s">
        <v>144</v>
      </c>
      <c r="N50" s="4">
        <v>45444</v>
      </c>
      <c r="U50" t="s">
        <v>50</v>
      </c>
      <c r="AA50" t="s">
        <v>145</v>
      </c>
      <c r="AD50" t="s">
        <v>229</v>
      </c>
      <c r="AE50" t="s">
        <v>230</v>
      </c>
      <c r="AG50" s="2">
        <v>45523</v>
      </c>
      <c r="AJ50" s="2">
        <v>45480</v>
      </c>
      <c r="AK50" s="4">
        <v>45519</v>
      </c>
      <c r="AL50" t="s">
        <v>231</v>
      </c>
      <c r="AM50" t="s">
        <v>126</v>
      </c>
      <c r="AN50">
        <v>39</v>
      </c>
      <c r="AO50">
        <v>79</v>
      </c>
      <c r="AQ50">
        <f t="shared" si="0"/>
        <v>79</v>
      </c>
      <c r="AR50">
        <f t="shared" si="1"/>
        <v>2024</v>
      </c>
    </row>
    <row r="51" spans="2:44" x14ac:dyDescent="0.25">
      <c r="B51" t="s">
        <v>232</v>
      </c>
      <c r="C51" t="s">
        <v>43</v>
      </c>
      <c r="D51" t="s">
        <v>43</v>
      </c>
      <c r="E51" t="s">
        <v>44</v>
      </c>
      <c r="F51" t="s">
        <v>158</v>
      </c>
      <c r="G51" t="s">
        <v>131</v>
      </c>
      <c r="H51" t="s">
        <v>47</v>
      </c>
      <c r="I51" t="s">
        <v>233</v>
      </c>
      <c r="K51" t="s">
        <v>44</v>
      </c>
      <c r="L51" t="s">
        <v>144</v>
      </c>
      <c r="M51" t="s">
        <v>144</v>
      </c>
      <c r="N51" s="4">
        <v>45516</v>
      </c>
      <c r="O51">
        <v>1</v>
      </c>
      <c r="P51">
        <v>1</v>
      </c>
      <c r="Q51">
        <v>1</v>
      </c>
      <c r="R51">
        <v>0</v>
      </c>
      <c r="S51">
        <v>1</v>
      </c>
      <c r="U51" t="s">
        <v>50</v>
      </c>
      <c r="AA51" t="s">
        <v>134</v>
      </c>
      <c r="AD51" t="s">
        <v>234</v>
      </c>
      <c r="AE51" t="s">
        <v>230</v>
      </c>
      <c r="AG51" s="2">
        <v>45505</v>
      </c>
      <c r="AJ51" s="2">
        <v>45505</v>
      </c>
      <c r="AK51" s="4">
        <v>45519</v>
      </c>
      <c r="AL51" t="s">
        <v>235</v>
      </c>
      <c r="AM51" t="s">
        <v>126</v>
      </c>
      <c r="AN51">
        <v>14</v>
      </c>
      <c r="AO51">
        <v>-11</v>
      </c>
      <c r="AQ51" t="str">
        <f t="shared" si="0"/>
        <v/>
      </c>
      <c r="AR51">
        <f t="shared" si="1"/>
        <v>2024</v>
      </c>
    </row>
    <row r="52" spans="2:44" x14ac:dyDescent="0.25">
      <c r="B52" t="s">
        <v>236</v>
      </c>
      <c r="C52" t="s">
        <v>43</v>
      </c>
      <c r="D52" t="s">
        <v>43</v>
      </c>
      <c r="E52" t="s">
        <v>44</v>
      </c>
      <c r="F52" t="s">
        <v>158</v>
      </c>
      <c r="G52" t="s">
        <v>131</v>
      </c>
      <c r="H52" t="s">
        <v>47</v>
      </c>
      <c r="K52" t="s">
        <v>44</v>
      </c>
      <c r="L52" t="s">
        <v>144</v>
      </c>
      <c r="M52" t="s">
        <v>144</v>
      </c>
      <c r="AM52" t="s">
        <v>126</v>
      </c>
      <c r="AN52">
        <v>0</v>
      </c>
      <c r="AO52" t="b">
        <v>0</v>
      </c>
      <c r="AQ52" t="str">
        <f t="shared" si="0"/>
        <v/>
      </c>
      <c r="AR52">
        <f t="shared" si="1"/>
        <v>1900</v>
      </c>
    </row>
    <row r="53" spans="2:44" x14ac:dyDescent="0.25">
      <c r="B53" t="s">
        <v>143</v>
      </c>
      <c r="C53" t="s">
        <v>43</v>
      </c>
      <c r="D53" t="s">
        <v>43</v>
      </c>
      <c r="E53" t="s">
        <v>44</v>
      </c>
      <c r="F53" t="s">
        <v>158</v>
      </c>
      <c r="G53" t="s">
        <v>131</v>
      </c>
      <c r="H53" t="s">
        <v>56</v>
      </c>
      <c r="K53" t="s">
        <v>44</v>
      </c>
      <c r="L53" t="s">
        <v>144</v>
      </c>
      <c r="M53" t="s">
        <v>144</v>
      </c>
      <c r="U53" t="s">
        <v>50</v>
      </c>
      <c r="AA53" t="s">
        <v>145</v>
      </c>
      <c r="AD53" t="s">
        <v>237</v>
      </c>
      <c r="AE53" t="s">
        <v>230</v>
      </c>
      <c r="AG53" s="2">
        <v>45523</v>
      </c>
      <c r="AK53" s="4">
        <v>45520</v>
      </c>
      <c r="AL53" t="s">
        <v>225</v>
      </c>
      <c r="AM53" t="s">
        <v>126</v>
      </c>
      <c r="AN53">
        <v>45520</v>
      </c>
      <c r="AO53">
        <v>45523</v>
      </c>
      <c r="AQ53" t="str">
        <f t="shared" si="0"/>
        <v/>
      </c>
      <c r="AR53">
        <f t="shared" si="1"/>
        <v>1900</v>
      </c>
    </row>
    <row r="54" spans="2:44" x14ac:dyDescent="0.25">
      <c r="B54" t="s">
        <v>238</v>
      </c>
      <c r="C54" t="s">
        <v>43</v>
      </c>
      <c r="D54" t="s">
        <v>43</v>
      </c>
      <c r="E54" t="s">
        <v>44</v>
      </c>
      <c r="F54" t="s">
        <v>158</v>
      </c>
      <c r="G54" t="s">
        <v>131</v>
      </c>
      <c r="H54" t="s">
        <v>56</v>
      </c>
      <c r="K54" t="s">
        <v>44</v>
      </c>
      <c r="L54" t="s">
        <v>133</v>
      </c>
      <c r="M54" t="s">
        <v>133</v>
      </c>
      <c r="U54" t="s">
        <v>50</v>
      </c>
      <c r="AA54" t="s">
        <v>239</v>
      </c>
      <c r="AD54" t="s">
        <v>240</v>
      </c>
      <c r="AE54" t="s">
        <v>230</v>
      </c>
      <c r="AG54" s="2">
        <v>45505</v>
      </c>
      <c r="AK54" s="4">
        <v>45505</v>
      </c>
      <c r="AL54" t="s">
        <v>136</v>
      </c>
      <c r="AM54" t="s">
        <v>126</v>
      </c>
      <c r="AN54">
        <v>45505</v>
      </c>
      <c r="AO54">
        <v>45505</v>
      </c>
      <c r="AQ54" t="str">
        <f t="shared" si="0"/>
        <v/>
      </c>
      <c r="AR54">
        <f t="shared" si="1"/>
        <v>1900</v>
      </c>
    </row>
    <row r="55" spans="2:44" x14ac:dyDescent="0.25">
      <c r="B55" t="s">
        <v>241</v>
      </c>
      <c r="C55" t="s">
        <v>43</v>
      </c>
      <c r="D55" t="s">
        <v>43</v>
      </c>
      <c r="E55" t="s">
        <v>44</v>
      </c>
      <c r="F55" t="s">
        <v>158</v>
      </c>
      <c r="G55" t="s">
        <v>131</v>
      </c>
      <c r="H55" t="s">
        <v>47</v>
      </c>
      <c r="I55" t="s">
        <v>242</v>
      </c>
      <c r="K55" t="s">
        <v>44</v>
      </c>
      <c r="L55" t="s">
        <v>144</v>
      </c>
      <c r="M55" t="s">
        <v>144</v>
      </c>
      <c r="N55" s="4">
        <v>45504</v>
      </c>
      <c r="U55" t="s">
        <v>50</v>
      </c>
      <c r="AA55" t="s">
        <v>145</v>
      </c>
      <c r="AD55" t="s">
        <v>243</v>
      </c>
      <c r="AE55" t="s">
        <v>230</v>
      </c>
      <c r="AG55" s="2">
        <v>45506</v>
      </c>
      <c r="AL55" t="s">
        <v>225</v>
      </c>
      <c r="AM55" t="s">
        <v>126</v>
      </c>
      <c r="AN55">
        <v>0</v>
      </c>
      <c r="AO55">
        <v>2</v>
      </c>
      <c r="AQ55">
        <f t="shared" si="0"/>
        <v>2</v>
      </c>
      <c r="AR55">
        <f t="shared" si="1"/>
        <v>2024</v>
      </c>
    </row>
    <row r="56" spans="2:44" x14ac:dyDescent="0.25">
      <c r="B56" t="s">
        <v>244</v>
      </c>
      <c r="C56" t="s">
        <v>43</v>
      </c>
      <c r="D56" t="s">
        <v>43</v>
      </c>
      <c r="E56" t="s">
        <v>44</v>
      </c>
      <c r="F56" t="s">
        <v>158</v>
      </c>
      <c r="G56" t="s">
        <v>131</v>
      </c>
      <c r="H56" t="s">
        <v>47</v>
      </c>
      <c r="I56" t="s">
        <v>245</v>
      </c>
      <c r="K56" t="s">
        <v>44</v>
      </c>
      <c r="L56" t="s">
        <v>144</v>
      </c>
      <c r="M56" t="s">
        <v>144</v>
      </c>
      <c r="N56" s="4">
        <v>45523</v>
      </c>
      <c r="U56" t="s">
        <v>50</v>
      </c>
      <c r="AA56" t="s">
        <v>145</v>
      </c>
      <c r="AD56" t="s">
        <v>246</v>
      </c>
      <c r="AE56" t="s">
        <v>230</v>
      </c>
      <c r="AG56" s="2">
        <v>45530</v>
      </c>
      <c r="AJ56" s="2">
        <v>45516</v>
      </c>
      <c r="AK56" s="4">
        <v>45525</v>
      </c>
      <c r="AL56" t="s">
        <v>231</v>
      </c>
      <c r="AM56" t="s">
        <v>126</v>
      </c>
      <c r="AN56">
        <v>9</v>
      </c>
      <c r="AO56">
        <v>7</v>
      </c>
      <c r="AQ56">
        <f t="shared" si="0"/>
        <v>7</v>
      </c>
      <c r="AR56">
        <f t="shared" si="1"/>
        <v>2024</v>
      </c>
    </row>
    <row r="57" spans="2:44" x14ac:dyDescent="0.25">
      <c r="B57" t="s">
        <v>143</v>
      </c>
      <c r="C57" t="s">
        <v>43</v>
      </c>
      <c r="D57" t="s">
        <v>43</v>
      </c>
      <c r="E57" t="s">
        <v>44</v>
      </c>
      <c r="F57" t="s">
        <v>158</v>
      </c>
      <c r="G57" t="s">
        <v>131</v>
      </c>
      <c r="H57" t="s">
        <v>47</v>
      </c>
      <c r="K57" t="s">
        <v>44</v>
      </c>
      <c r="L57" t="s">
        <v>144</v>
      </c>
      <c r="M57" t="s">
        <v>144</v>
      </c>
      <c r="N57" s="4">
        <v>45516</v>
      </c>
      <c r="U57" t="s">
        <v>50</v>
      </c>
      <c r="AA57" t="s">
        <v>145</v>
      </c>
      <c r="AD57" t="s">
        <v>247</v>
      </c>
      <c r="AE57" t="s">
        <v>230</v>
      </c>
      <c r="AG57" s="2">
        <v>45536</v>
      </c>
      <c r="AJ57" s="2">
        <v>45516</v>
      </c>
      <c r="AK57" s="4">
        <v>45526</v>
      </c>
      <c r="AL57" t="s">
        <v>225</v>
      </c>
      <c r="AM57" t="s">
        <v>126</v>
      </c>
      <c r="AN57">
        <v>10</v>
      </c>
      <c r="AO57">
        <v>20</v>
      </c>
      <c r="AQ57">
        <f t="shared" si="0"/>
        <v>20</v>
      </c>
      <c r="AR57">
        <f t="shared" si="1"/>
        <v>2024</v>
      </c>
    </row>
    <row r="58" spans="2:44" x14ac:dyDescent="0.25">
      <c r="B58" t="s">
        <v>228</v>
      </c>
      <c r="C58" t="s">
        <v>43</v>
      </c>
      <c r="D58" t="s">
        <v>43</v>
      </c>
      <c r="E58" t="s">
        <v>44</v>
      </c>
      <c r="F58" t="s">
        <v>158</v>
      </c>
      <c r="G58" t="s">
        <v>131</v>
      </c>
      <c r="H58" t="s">
        <v>47</v>
      </c>
      <c r="I58" t="s">
        <v>248</v>
      </c>
      <c r="K58" t="s">
        <v>44</v>
      </c>
      <c r="L58" t="s">
        <v>144</v>
      </c>
      <c r="M58" t="s">
        <v>144</v>
      </c>
      <c r="N58" s="4">
        <v>45525</v>
      </c>
      <c r="U58" t="s">
        <v>50</v>
      </c>
      <c r="AA58" t="s">
        <v>145</v>
      </c>
      <c r="AD58" t="s">
        <v>249</v>
      </c>
      <c r="AE58" t="s">
        <v>230</v>
      </c>
      <c r="AG58" s="2">
        <v>45540</v>
      </c>
      <c r="AJ58" s="2">
        <v>45525</v>
      </c>
      <c r="AK58" s="4">
        <v>45526</v>
      </c>
      <c r="AL58" t="s">
        <v>231</v>
      </c>
      <c r="AM58" t="s">
        <v>102</v>
      </c>
      <c r="AN58">
        <v>1</v>
      </c>
      <c r="AO58">
        <v>15</v>
      </c>
      <c r="AQ58">
        <f t="shared" si="0"/>
        <v>15</v>
      </c>
      <c r="AR58">
        <f t="shared" si="1"/>
        <v>2024</v>
      </c>
    </row>
    <row r="59" spans="2:44" x14ac:dyDescent="0.25">
      <c r="B59" t="s">
        <v>143</v>
      </c>
      <c r="C59" t="s">
        <v>43</v>
      </c>
      <c r="D59" t="s">
        <v>43</v>
      </c>
      <c r="E59" t="s">
        <v>44</v>
      </c>
      <c r="F59" t="s">
        <v>158</v>
      </c>
      <c r="G59" t="s">
        <v>131</v>
      </c>
      <c r="H59" t="s">
        <v>56</v>
      </c>
      <c r="K59" t="s">
        <v>44</v>
      </c>
      <c r="L59" t="s">
        <v>144</v>
      </c>
      <c r="M59" t="s">
        <v>144</v>
      </c>
      <c r="N59" s="4">
        <v>45523</v>
      </c>
      <c r="U59" t="s">
        <v>50</v>
      </c>
      <c r="AA59" t="s">
        <v>145</v>
      </c>
      <c r="AD59" t="s">
        <v>250</v>
      </c>
      <c r="AE59" t="s">
        <v>230</v>
      </c>
      <c r="AG59" s="2">
        <v>45560</v>
      </c>
      <c r="AJ59" s="2">
        <v>45523</v>
      </c>
      <c r="AK59" s="4">
        <v>45526</v>
      </c>
      <c r="AL59" t="s">
        <v>148</v>
      </c>
      <c r="AM59" t="s">
        <v>102</v>
      </c>
      <c r="AN59">
        <v>3</v>
      </c>
      <c r="AO59">
        <v>37</v>
      </c>
      <c r="AQ59">
        <f t="shared" si="0"/>
        <v>37</v>
      </c>
      <c r="AR59">
        <f t="shared" si="1"/>
        <v>2024</v>
      </c>
    </row>
    <row r="60" spans="2:44" x14ac:dyDescent="0.25">
      <c r="B60" t="s">
        <v>251</v>
      </c>
      <c r="C60" t="s">
        <v>43</v>
      </c>
      <c r="D60" t="s">
        <v>43</v>
      </c>
      <c r="E60" t="s">
        <v>44</v>
      </c>
      <c r="F60" t="s">
        <v>158</v>
      </c>
      <c r="G60" t="s">
        <v>131</v>
      </c>
      <c r="H60" t="s">
        <v>47</v>
      </c>
      <c r="I60" t="s">
        <v>252</v>
      </c>
      <c r="K60" t="s">
        <v>44</v>
      </c>
      <c r="L60" t="s">
        <v>144</v>
      </c>
      <c r="M60" t="s">
        <v>144</v>
      </c>
      <c r="N60" s="4">
        <v>45523</v>
      </c>
      <c r="U60" t="s">
        <v>50</v>
      </c>
      <c r="AA60" t="s">
        <v>145</v>
      </c>
      <c r="AD60" t="s">
        <v>253</v>
      </c>
      <c r="AE60" t="s">
        <v>230</v>
      </c>
      <c r="AG60" s="2">
        <v>45530</v>
      </c>
      <c r="AJ60" s="2">
        <v>45523</v>
      </c>
      <c r="AK60" s="4">
        <v>45526</v>
      </c>
      <c r="AL60" t="s">
        <v>231</v>
      </c>
      <c r="AM60" t="s">
        <v>102</v>
      </c>
      <c r="AN60">
        <v>3</v>
      </c>
      <c r="AO60">
        <v>7</v>
      </c>
      <c r="AQ60">
        <f t="shared" si="0"/>
        <v>7</v>
      </c>
      <c r="AR60">
        <f t="shared" si="1"/>
        <v>2024</v>
      </c>
    </row>
    <row r="61" spans="2:44" x14ac:dyDescent="0.25">
      <c r="B61" t="s">
        <v>254</v>
      </c>
      <c r="C61" t="s">
        <v>139</v>
      </c>
      <c r="D61" t="s">
        <v>139</v>
      </c>
      <c r="E61" t="s">
        <v>44</v>
      </c>
      <c r="F61" t="s">
        <v>45</v>
      </c>
      <c r="G61" t="s">
        <v>131</v>
      </c>
      <c r="H61" t="s">
        <v>56</v>
      </c>
      <c r="K61" t="s">
        <v>44</v>
      </c>
      <c r="L61" t="s">
        <v>144</v>
      </c>
      <c r="M61" t="s">
        <v>144</v>
      </c>
      <c r="N61" s="4">
        <v>45525</v>
      </c>
      <c r="U61" t="s">
        <v>50</v>
      </c>
      <c r="AA61" t="s">
        <v>255</v>
      </c>
      <c r="AD61" t="s">
        <v>256</v>
      </c>
      <c r="AE61" t="s">
        <v>230</v>
      </c>
      <c r="AG61" s="2">
        <v>45506</v>
      </c>
      <c r="AJ61" s="2">
        <v>45525</v>
      </c>
      <c r="AK61" s="4">
        <v>45526</v>
      </c>
      <c r="AL61" t="s">
        <v>257</v>
      </c>
      <c r="AM61" t="s">
        <v>126</v>
      </c>
      <c r="AN61">
        <v>1</v>
      </c>
      <c r="AO61">
        <v>-19</v>
      </c>
      <c r="AQ61" t="str">
        <f t="shared" si="0"/>
        <v/>
      </c>
      <c r="AR61">
        <f t="shared" si="1"/>
        <v>2024</v>
      </c>
    </row>
    <row r="62" spans="2:44" x14ac:dyDescent="0.25">
      <c r="B62" t="s">
        <v>258</v>
      </c>
      <c r="C62" t="s">
        <v>43</v>
      </c>
      <c r="D62" t="s">
        <v>43</v>
      </c>
      <c r="E62" t="s">
        <v>44</v>
      </c>
      <c r="F62" t="s">
        <v>158</v>
      </c>
      <c r="G62" t="s">
        <v>259</v>
      </c>
      <c r="H62" t="s">
        <v>56</v>
      </c>
      <c r="K62" t="s">
        <v>44</v>
      </c>
      <c r="L62" t="s">
        <v>59</v>
      </c>
      <c r="M62" t="s">
        <v>59</v>
      </c>
      <c r="N62" s="4">
        <v>45496</v>
      </c>
      <c r="U62" t="s">
        <v>50</v>
      </c>
      <c r="AA62" t="s">
        <v>255</v>
      </c>
      <c r="AD62" t="s">
        <v>260</v>
      </c>
      <c r="AE62" t="s">
        <v>230</v>
      </c>
      <c r="AG62" s="2">
        <v>45537</v>
      </c>
      <c r="AJ62" s="2">
        <v>45496</v>
      </c>
      <c r="AK62" s="4">
        <v>45506</v>
      </c>
      <c r="AL62" t="s">
        <v>67</v>
      </c>
      <c r="AM62" t="s">
        <v>163</v>
      </c>
      <c r="AN62">
        <v>10</v>
      </c>
      <c r="AO62">
        <v>41</v>
      </c>
      <c r="AQ62">
        <f t="shared" si="0"/>
        <v>41</v>
      </c>
      <c r="AR62">
        <f t="shared" si="1"/>
        <v>2024</v>
      </c>
    </row>
    <row r="63" spans="2:44" x14ac:dyDescent="0.25">
      <c r="B63" t="s">
        <v>261</v>
      </c>
      <c r="C63" t="s">
        <v>43</v>
      </c>
      <c r="D63" t="s">
        <v>43</v>
      </c>
      <c r="E63" t="s">
        <v>44</v>
      </c>
      <c r="F63" t="s">
        <v>45</v>
      </c>
      <c r="G63" t="s">
        <v>131</v>
      </c>
      <c r="H63" t="s">
        <v>56</v>
      </c>
      <c r="K63" t="s">
        <v>44</v>
      </c>
      <c r="L63" t="s">
        <v>59</v>
      </c>
      <c r="M63" t="s">
        <v>59</v>
      </c>
      <c r="N63" s="4">
        <v>45497</v>
      </c>
      <c r="U63" t="s">
        <v>50</v>
      </c>
      <c r="AA63" t="s">
        <v>255</v>
      </c>
      <c r="AD63" t="s">
        <v>262</v>
      </c>
      <c r="AE63" t="s">
        <v>230</v>
      </c>
      <c r="AG63" s="2">
        <v>45537</v>
      </c>
      <c r="AJ63" s="2">
        <v>45519</v>
      </c>
      <c r="AK63" s="4">
        <v>45497</v>
      </c>
      <c r="AL63" t="s">
        <v>162</v>
      </c>
      <c r="AM63" t="s">
        <v>163</v>
      </c>
      <c r="AN63">
        <v>-22</v>
      </c>
      <c r="AO63">
        <v>40</v>
      </c>
      <c r="AQ63">
        <f t="shared" si="0"/>
        <v>40</v>
      </c>
      <c r="AR63">
        <f t="shared" si="1"/>
        <v>2024</v>
      </c>
    </row>
    <row r="64" spans="2:44" x14ac:dyDescent="0.25">
      <c r="B64" t="s">
        <v>263</v>
      </c>
      <c r="C64" t="s">
        <v>43</v>
      </c>
      <c r="D64" t="s">
        <v>264</v>
      </c>
      <c r="E64" t="s">
        <v>44</v>
      </c>
      <c r="F64" t="s">
        <v>158</v>
      </c>
      <c r="G64" t="s">
        <v>131</v>
      </c>
      <c r="H64" t="s">
        <v>47</v>
      </c>
      <c r="I64" t="s">
        <v>265</v>
      </c>
      <c r="K64" t="s">
        <v>44</v>
      </c>
      <c r="L64" t="s">
        <v>159</v>
      </c>
      <c r="M64" t="s">
        <v>59</v>
      </c>
      <c r="N64" s="4">
        <v>45525</v>
      </c>
      <c r="U64" t="s">
        <v>114</v>
      </c>
      <c r="AM64" t="s">
        <v>163</v>
      </c>
      <c r="AN64">
        <v>0</v>
      </c>
      <c r="AO64">
        <v>496</v>
      </c>
      <c r="AQ64" t="str">
        <f t="shared" si="0"/>
        <v/>
      </c>
      <c r="AR64">
        <f t="shared" si="1"/>
        <v>2024</v>
      </c>
    </row>
    <row r="65" spans="2:44" x14ac:dyDescent="0.25">
      <c r="B65" t="s">
        <v>266</v>
      </c>
      <c r="C65" t="s">
        <v>43</v>
      </c>
      <c r="D65" t="s">
        <v>43</v>
      </c>
      <c r="E65" t="s">
        <v>44</v>
      </c>
      <c r="F65" t="s">
        <v>158</v>
      </c>
      <c r="G65" t="s">
        <v>131</v>
      </c>
      <c r="H65" t="s">
        <v>56</v>
      </c>
      <c r="K65" t="s">
        <v>44</v>
      </c>
      <c r="L65" t="s">
        <v>59</v>
      </c>
      <c r="M65" t="s">
        <v>59</v>
      </c>
      <c r="N65" s="4">
        <v>45534</v>
      </c>
      <c r="U65" t="s">
        <v>114</v>
      </c>
      <c r="AM65" t="s">
        <v>163</v>
      </c>
      <c r="AN65">
        <v>0</v>
      </c>
      <c r="AO65">
        <v>487</v>
      </c>
      <c r="AQ65" t="str">
        <f t="shared" si="0"/>
        <v/>
      </c>
      <c r="AR65">
        <f t="shared" si="1"/>
        <v>2024</v>
      </c>
    </row>
    <row r="66" spans="2:44" x14ac:dyDescent="0.25">
      <c r="B66" t="s">
        <v>267</v>
      </c>
      <c r="C66" t="s">
        <v>43</v>
      </c>
      <c r="D66" t="s">
        <v>43</v>
      </c>
      <c r="E66" t="s">
        <v>44</v>
      </c>
      <c r="F66" t="s">
        <v>158</v>
      </c>
      <c r="G66" t="s">
        <v>131</v>
      </c>
      <c r="H66" t="s">
        <v>56</v>
      </c>
      <c r="K66" t="s">
        <v>44</v>
      </c>
      <c r="L66" t="s">
        <v>59</v>
      </c>
      <c r="M66" t="s">
        <v>59</v>
      </c>
      <c r="N66" s="4">
        <v>45538</v>
      </c>
      <c r="U66" t="s">
        <v>50</v>
      </c>
      <c r="AA66" t="s">
        <v>149</v>
      </c>
      <c r="AD66" t="s">
        <v>268</v>
      </c>
      <c r="AE66" t="s">
        <v>269</v>
      </c>
      <c r="AG66" s="2">
        <v>45600</v>
      </c>
      <c r="AJ66" s="2">
        <v>45551</v>
      </c>
      <c r="AK66" s="4">
        <v>45566</v>
      </c>
      <c r="AL66" t="s">
        <v>62</v>
      </c>
      <c r="AM66" t="s">
        <v>163</v>
      </c>
      <c r="AN66">
        <v>15</v>
      </c>
      <c r="AO66">
        <v>62</v>
      </c>
      <c r="AQ66">
        <f t="shared" si="0"/>
        <v>62</v>
      </c>
      <c r="AR66">
        <f t="shared" si="1"/>
        <v>2024</v>
      </c>
    </row>
    <row r="67" spans="2:44" x14ac:dyDescent="0.25">
      <c r="B67" t="s">
        <v>220</v>
      </c>
      <c r="C67" t="s">
        <v>43</v>
      </c>
      <c r="D67" t="s">
        <v>43</v>
      </c>
      <c r="E67" t="s">
        <v>44</v>
      </c>
      <c r="F67" t="s">
        <v>158</v>
      </c>
      <c r="G67" t="s">
        <v>131</v>
      </c>
      <c r="H67" t="s">
        <v>56</v>
      </c>
      <c r="K67" t="s">
        <v>44</v>
      </c>
      <c r="L67" t="s">
        <v>144</v>
      </c>
      <c r="M67" t="s">
        <v>144</v>
      </c>
      <c r="N67" s="4">
        <v>45517</v>
      </c>
      <c r="U67" t="s">
        <v>114</v>
      </c>
      <c r="AA67" t="s">
        <v>51</v>
      </c>
      <c r="AM67" t="s">
        <v>270</v>
      </c>
      <c r="AN67">
        <v>0</v>
      </c>
      <c r="AO67">
        <v>504</v>
      </c>
      <c r="AQ67" t="str">
        <f t="shared" ref="AQ67:AQ130" si="2">IF(AND(AO67&gt;=0,AO67&lt;=300),AO67,"")</f>
        <v/>
      </c>
      <c r="AR67">
        <f t="shared" ref="AR67:AR130" si="3">YEAR(N67)</f>
        <v>2024</v>
      </c>
    </row>
    <row r="68" spans="2:44" x14ac:dyDescent="0.25">
      <c r="B68" t="s">
        <v>228</v>
      </c>
      <c r="C68" t="s">
        <v>43</v>
      </c>
      <c r="D68" t="s">
        <v>43</v>
      </c>
      <c r="E68" t="s">
        <v>44</v>
      </c>
      <c r="F68" t="s">
        <v>158</v>
      </c>
      <c r="G68" t="s">
        <v>131</v>
      </c>
      <c r="H68" t="s">
        <v>56</v>
      </c>
      <c r="K68" t="s">
        <v>44</v>
      </c>
      <c r="L68" t="s">
        <v>144</v>
      </c>
      <c r="M68" t="s">
        <v>144</v>
      </c>
      <c r="N68" s="4">
        <v>45532</v>
      </c>
      <c r="U68" t="s">
        <v>50</v>
      </c>
      <c r="AA68" t="s">
        <v>255</v>
      </c>
      <c r="AD68" t="s">
        <v>271</v>
      </c>
      <c r="AE68" t="s">
        <v>100</v>
      </c>
      <c r="AG68" s="2">
        <v>45537</v>
      </c>
      <c r="AJ68" s="2">
        <v>45532</v>
      </c>
      <c r="AK68" s="4">
        <v>45533</v>
      </c>
      <c r="AL68" t="s">
        <v>231</v>
      </c>
      <c r="AM68" t="s">
        <v>102</v>
      </c>
      <c r="AN68">
        <v>1</v>
      </c>
      <c r="AO68">
        <v>5</v>
      </c>
      <c r="AQ68">
        <f t="shared" si="2"/>
        <v>5</v>
      </c>
      <c r="AR68">
        <f t="shared" si="3"/>
        <v>2024</v>
      </c>
    </row>
    <row r="69" spans="2:44" x14ac:dyDescent="0.25">
      <c r="B69" t="s">
        <v>228</v>
      </c>
      <c r="C69" t="s">
        <v>43</v>
      </c>
      <c r="D69" t="s">
        <v>43</v>
      </c>
      <c r="E69" t="s">
        <v>44</v>
      </c>
      <c r="F69" t="s">
        <v>158</v>
      </c>
      <c r="G69" t="s">
        <v>131</v>
      </c>
      <c r="H69" t="s">
        <v>56</v>
      </c>
      <c r="K69" t="s">
        <v>44</v>
      </c>
      <c r="L69" t="s">
        <v>144</v>
      </c>
      <c r="M69" t="s">
        <v>144</v>
      </c>
      <c r="N69" s="4">
        <v>45532</v>
      </c>
      <c r="U69" t="s">
        <v>50</v>
      </c>
      <c r="AA69" t="s">
        <v>255</v>
      </c>
      <c r="AD69" t="s">
        <v>272</v>
      </c>
      <c r="AE69" t="s">
        <v>100</v>
      </c>
      <c r="AG69" s="2">
        <v>45537</v>
      </c>
      <c r="AJ69" s="2">
        <v>45532</v>
      </c>
      <c r="AK69" s="4">
        <v>45533</v>
      </c>
      <c r="AL69" t="s">
        <v>231</v>
      </c>
      <c r="AM69" t="s">
        <v>102</v>
      </c>
      <c r="AN69">
        <v>1</v>
      </c>
      <c r="AO69">
        <v>5</v>
      </c>
      <c r="AQ69">
        <f t="shared" si="2"/>
        <v>5</v>
      </c>
      <c r="AR69">
        <f t="shared" si="3"/>
        <v>2024</v>
      </c>
    </row>
    <row r="70" spans="2:44" x14ac:dyDescent="0.25">
      <c r="B70" t="s">
        <v>273</v>
      </c>
      <c r="C70" t="s">
        <v>43</v>
      </c>
      <c r="D70" t="s">
        <v>43</v>
      </c>
      <c r="E70" t="s">
        <v>44</v>
      </c>
      <c r="F70" t="s">
        <v>158</v>
      </c>
      <c r="G70" t="s">
        <v>131</v>
      </c>
      <c r="H70" t="s">
        <v>56</v>
      </c>
      <c r="K70" t="s">
        <v>44</v>
      </c>
      <c r="L70" t="s">
        <v>144</v>
      </c>
      <c r="M70" t="s">
        <v>144</v>
      </c>
      <c r="N70" s="4">
        <v>45538</v>
      </c>
      <c r="U70" t="s">
        <v>50</v>
      </c>
      <c r="AA70" t="s">
        <v>255</v>
      </c>
      <c r="AD70" t="s">
        <v>274</v>
      </c>
      <c r="AE70" t="s">
        <v>100</v>
      </c>
      <c r="AG70" s="2">
        <v>45538</v>
      </c>
      <c r="AJ70" s="2">
        <v>45538</v>
      </c>
      <c r="AK70" s="4">
        <v>45538</v>
      </c>
      <c r="AL70" t="s">
        <v>231</v>
      </c>
      <c r="AM70" t="s">
        <v>102</v>
      </c>
      <c r="AN70">
        <v>0</v>
      </c>
      <c r="AO70">
        <v>0</v>
      </c>
      <c r="AQ70">
        <f t="shared" si="2"/>
        <v>0</v>
      </c>
      <c r="AR70">
        <f t="shared" si="3"/>
        <v>2024</v>
      </c>
    </row>
    <row r="71" spans="2:44" x14ac:dyDescent="0.25">
      <c r="B71" t="s">
        <v>275</v>
      </c>
      <c r="C71" t="s">
        <v>43</v>
      </c>
      <c r="D71" t="s">
        <v>43</v>
      </c>
      <c r="E71" t="s">
        <v>44</v>
      </c>
      <c r="F71" t="s">
        <v>158</v>
      </c>
      <c r="G71" t="s">
        <v>131</v>
      </c>
      <c r="H71" t="s">
        <v>56</v>
      </c>
      <c r="K71" t="s">
        <v>44</v>
      </c>
      <c r="L71" t="s">
        <v>144</v>
      </c>
      <c r="M71" t="s">
        <v>144</v>
      </c>
      <c r="N71" s="4">
        <v>45525</v>
      </c>
      <c r="U71" t="s">
        <v>50</v>
      </c>
      <c r="AA71" t="s">
        <v>255</v>
      </c>
      <c r="AD71" t="s">
        <v>276</v>
      </c>
      <c r="AE71" t="s">
        <v>100</v>
      </c>
      <c r="AG71" s="2">
        <v>45512</v>
      </c>
      <c r="AJ71" s="2">
        <v>45512</v>
      </c>
      <c r="AK71" s="4">
        <v>45512</v>
      </c>
      <c r="AL71" t="s">
        <v>257</v>
      </c>
      <c r="AM71" t="s">
        <v>102</v>
      </c>
      <c r="AN71">
        <v>0</v>
      </c>
      <c r="AO71">
        <v>-13</v>
      </c>
      <c r="AQ71" t="str">
        <f t="shared" si="2"/>
        <v/>
      </c>
      <c r="AR71">
        <f t="shared" si="3"/>
        <v>2024</v>
      </c>
    </row>
    <row r="72" spans="2:44" x14ac:dyDescent="0.25">
      <c r="B72" t="s">
        <v>277</v>
      </c>
      <c r="C72" t="s">
        <v>43</v>
      </c>
      <c r="D72" t="s">
        <v>43</v>
      </c>
      <c r="E72" t="s">
        <v>55</v>
      </c>
      <c r="F72" t="s">
        <v>158</v>
      </c>
      <c r="G72" t="s">
        <v>131</v>
      </c>
      <c r="H72" t="s">
        <v>56</v>
      </c>
      <c r="K72" t="s">
        <v>153</v>
      </c>
      <c r="L72" t="s">
        <v>278</v>
      </c>
      <c r="M72" t="s">
        <v>279</v>
      </c>
      <c r="N72" s="4">
        <v>45511</v>
      </c>
      <c r="U72" t="s">
        <v>50</v>
      </c>
      <c r="AA72" t="s">
        <v>255</v>
      </c>
      <c r="AD72" t="s">
        <v>280</v>
      </c>
      <c r="AE72" t="s">
        <v>199</v>
      </c>
      <c r="AG72" s="2">
        <v>45551</v>
      </c>
      <c r="AK72" s="4">
        <v>45539</v>
      </c>
      <c r="AN72">
        <v>45539</v>
      </c>
      <c r="AO72">
        <v>40</v>
      </c>
      <c r="AQ72">
        <f t="shared" si="2"/>
        <v>40</v>
      </c>
      <c r="AR72">
        <f t="shared" si="3"/>
        <v>2024</v>
      </c>
    </row>
    <row r="73" spans="2:44" x14ac:dyDescent="0.25">
      <c r="B73" t="s">
        <v>281</v>
      </c>
      <c r="C73" t="s">
        <v>264</v>
      </c>
      <c r="D73" t="s">
        <v>264</v>
      </c>
      <c r="E73" t="s">
        <v>282</v>
      </c>
      <c r="F73" t="s">
        <v>158</v>
      </c>
      <c r="G73" t="s">
        <v>131</v>
      </c>
      <c r="H73" t="s">
        <v>56</v>
      </c>
      <c r="K73" t="s">
        <v>44</v>
      </c>
      <c r="L73" t="s">
        <v>59</v>
      </c>
      <c r="M73" t="s">
        <v>59</v>
      </c>
      <c r="N73" s="4">
        <v>45545</v>
      </c>
      <c r="U73" t="s">
        <v>114</v>
      </c>
      <c r="AN73">
        <v>0</v>
      </c>
      <c r="AO73">
        <v>476</v>
      </c>
      <c r="AQ73" t="str">
        <f t="shared" si="2"/>
        <v/>
      </c>
      <c r="AR73">
        <f t="shared" si="3"/>
        <v>2024</v>
      </c>
    </row>
    <row r="74" spans="2:44" x14ac:dyDescent="0.25">
      <c r="B74" t="s">
        <v>283</v>
      </c>
      <c r="C74" t="s">
        <v>43</v>
      </c>
      <c r="D74" t="s">
        <v>43</v>
      </c>
      <c r="E74" t="s">
        <v>44</v>
      </c>
      <c r="F74" t="s">
        <v>45</v>
      </c>
      <c r="G74" t="s">
        <v>131</v>
      </c>
      <c r="H74" t="s">
        <v>47</v>
      </c>
      <c r="I74" t="s">
        <v>284</v>
      </c>
      <c r="K74" t="s">
        <v>44</v>
      </c>
      <c r="L74" t="s">
        <v>144</v>
      </c>
      <c r="M74" t="s">
        <v>144</v>
      </c>
      <c r="N74" s="4">
        <v>45540</v>
      </c>
      <c r="U74" t="s">
        <v>50</v>
      </c>
      <c r="AA74" t="s">
        <v>255</v>
      </c>
      <c r="AD74" t="s">
        <v>285</v>
      </c>
      <c r="AE74" t="s">
        <v>100</v>
      </c>
      <c r="AG74" s="2">
        <v>45546</v>
      </c>
      <c r="AJ74" s="2">
        <v>45544</v>
      </c>
      <c r="AK74" s="4">
        <v>45546</v>
      </c>
      <c r="AL74" t="s">
        <v>231</v>
      </c>
      <c r="AM74" t="s">
        <v>102</v>
      </c>
      <c r="AN74">
        <v>2</v>
      </c>
      <c r="AO74">
        <v>6</v>
      </c>
      <c r="AQ74">
        <f t="shared" si="2"/>
        <v>6</v>
      </c>
      <c r="AR74">
        <f t="shared" si="3"/>
        <v>2024</v>
      </c>
    </row>
    <row r="75" spans="2:44" x14ac:dyDescent="0.25">
      <c r="B75" t="s">
        <v>286</v>
      </c>
      <c r="C75" t="s">
        <v>43</v>
      </c>
      <c r="D75" t="s">
        <v>43</v>
      </c>
      <c r="E75" t="s">
        <v>44</v>
      </c>
      <c r="F75" t="s">
        <v>45</v>
      </c>
      <c r="G75" t="s">
        <v>131</v>
      </c>
      <c r="H75" t="s">
        <v>56</v>
      </c>
      <c r="K75" t="s">
        <v>44</v>
      </c>
      <c r="L75" t="s">
        <v>144</v>
      </c>
      <c r="M75" t="s">
        <v>144</v>
      </c>
      <c r="N75" s="4">
        <v>45540</v>
      </c>
      <c r="U75" t="s">
        <v>50</v>
      </c>
      <c r="AA75" t="s">
        <v>255</v>
      </c>
      <c r="AD75" t="s">
        <v>287</v>
      </c>
      <c r="AE75" t="s">
        <v>100</v>
      </c>
      <c r="AG75" s="2">
        <v>45536</v>
      </c>
      <c r="AJ75" s="2">
        <v>45532</v>
      </c>
      <c r="AK75" s="4">
        <v>45534</v>
      </c>
      <c r="AL75" t="s">
        <v>225</v>
      </c>
      <c r="AM75" t="s">
        <v>102</v>
      </c>
      <c r="AN75">
        <v>2</v>
      </c>
      <c r="AO75">
        <v>-4</v>
      </c>
      <c r="AQ75" t="str">
        <f t="shared" si="2"/>
        <v/>
      </c>
      <c r="AR75">
        <f t="shared" si="3"/>
        <v>2024</v>
      </c>
    </row>
    <row r="76" spans="2:44" x14ac:dyDescent="0.25">
      <c r="B76" t="s">
        <v>143</v>
      </c>
      <c r="C76" t="s">
        <v>43</v>
      </c>
      <c r="D76" t="s">
        <v>43</v>
      </c>
      <c r="E76" t="s">
        <v>44</v>
      </c>
      <c r="F76" t="s">
        <v>45</v>
      </c>
      <c r="G76" t="s">
        <v>131</v>
      </c>
      <c r="H76" t="s">
        <v>47</v>
      </c>
      <c r="I76" t="s">
        <v>288</v>
      </c>
      <c r="K76" t="s">
        <v>44</v>
      </c>
      <c r="L76" t="s">
        <v>144</v>
      </c>
      <c r="M76" t="s">
        <v>144</v>
      </c>
      <c r="N76" s="4">
        <v>45544</v>
      </c>
      <c r="U76" t="s">
        <v>50</v>
      </c>
      <c r="AA76" t="s">
        <v>255</v>
      </c>
      <c r="AD76" t="s">
        <v>289</v>
      </c>
      <c r="AE76" t="s">
        <v>100</v>
      </c>
      <c r="AG76" s="2">
        <v>45558</v>
      </c>
      <c r="AH76" s="2">
        <v>45559</v>
      </c>
      <c r="AI76" s="2">
        <v>45560</v>
      </c>
      <c r="AJ76" t="s">
        <v>290</v>
      </c>
      <c r="AK76" s="4">
        <v>45544</v>
      </c>
      <c r="AL76" t="s">
        <v>225</v>
      </c>
      <c r="AM76" t="s">
        <v>102</v>
      </c>
      <c r="AN76">
        <v>-14</v>
      </c>
      <c r="AO76">
        <v>13</v>
      </c>
      <c r="AQ76">
        <f t="shared" si="2"/>
        <v>13</v>
      </c>
      <c r="AR76">
        <f t="shared" si="3"/>
        <v>2024</v>
      </c>
    </row>
    <row r="77" spans="2:44" x14ac:dyDescent="0.25">
      <c r="B77" t="s">
        <v>143</v>
      </c>
      <c r="C77" t="s">
        <v>43</v>
      </c>
      <c r="D77" t="s">
        <v>43</v>
      </c>
      <c r="E77" t="s">
        <v>44</v>
      </c>
      <c r="F77" t="s">
        <v>45</v>
      </c>
      <c r="G77" t="s">
        <v>131</v>
      </c>
      <c r="H77" t="s">
        <v>47</v>
      </c>
      <c r="I77" t="s">
        <v>291</v>
      </c>
      <c r="K77" t="s">
        <v>44</v>
      </c>
      <c r="L77" t="s">
        <v>144</v>
      </c>
      <c r="M77" t="s">
        <v>144</v>
      </c>
      <c r="N77" s="4">
        <v>45544</v>
      </c>
      <c r="U77" t="s">
        <v>50</v>
      </c>
      <c r="AA77" t="s">
        <v>255</v>
      </c>
      <c r="AD77" t="s">
        <v>292</v>
      </c>
      <c r="AE77" t="s">
        <v>100</v>
      </c>
      <c r="AG77" s="2">
        <v>45560</v>
      </c>
      <c r="AJ77" s="2">
        <v>45544</v>
      </c>
      <c r="AK77" s="4">
        <v>45544</v>
      </c>
      <c r="AL77" t="s">
        <v>225</v>
      </c>
      <c r="AM77" t="s">
        <v>102</v>
      </c>
      <c r="AN77">
        <v>0</v>
      </c>
      <c r="AO77">
        <v>16</v>
      </c>
      <c r="AQ77">
        <f t="shared" si="2"/>
        <v>16</v>
      </c>
      <c r="AR77">
        <f t="shared" si="3"/>
        <v>2024</v>
      </c>
    </row>
    <row r="78" spans="2:44" x14ac:dyDescent="0.25">
      <c r="B78" t="s">
        <v>283</v>
      </c>
      <c r="C78" t="s">
        <v>43</v>
      </c>
      <c r="D78" t="s">
        <v>43</v>
      </c>
      <c r="E78" t="s">
        <v>44</v>
      </c>
      <c r="F78" t="s">
        <v>45</v>
      </c>
      <c r="G78" t="s">
        <v>131</v>
      </c>
      <c r="H78" t="s">
        <v>293</v>
      </c>
      <c r="K78" t="s">
        <v>44</v>
      </c>
      <c r="L78" t="s">
        <v>144</v>
      </c>
      <c r="M78" t="s">
        <v>144</v>
      </c>
      <c r="N78" s="4">
        <v>45541</v>
      </c>
      <c r="U78" t="s">
        <v>50</v>
      </c>
      <c r="AA78" t="s">
        <v>51</v>
      </c>
      <c r="AD78" t="s">
        <v>294</v>
      </c>
      <c r="AE78" t="s">
        <v>100</v>
      </c>
      <c r="AG78" s="2">
        <v>45558</v>
      </c>
      <c r="AJ78" s="2">
        <v>45543</v>
      </c>
      <c r="AK78" s="4">
        <v>45551</v>
      </c>
      <c r="AL78" t="s">
        <v>231</v>
      </c>
      <c r="AM78" t="s">
        <v>102</v>
      </c>
      <c r="AN78">
        <v>8</v>
      </c>
      <c r="AO78">
        <v>17</v>
      </c>
      <c r="AQ78">
        <f t="shared" si="2"/>
        <v>17</v>
      </c>
      <c r="AR78">
        <f t="shared" si="3"/>
        <v>2024</v>
      </c>
    </row>
    <row r="79" spans="2:44" x14ac:dyDescent="0.25">
      <c r="B79" t="s">
        <v>295</v>
      </c>
      <c r="C79" t="s">
        <v>43</v>
      </c>
      <c r="D79" t="s">
        <v>43</v>
      </c>
      <c r="E79" t="s">
        <v>44</v>
      </c>
      <c r="F79" t="s">
        <v>45</v>
      </c>
      <c r="G79" t="s">
        <v>131</v>
      </c>
      <c r="H79" t="s">
        <v>47</v>
      </c>
      <c r="I79" t="s">
        <v>296</v>
      </c>
      <c r="K79" t="s">
        <v>44</v>
      </c>
      <c r="L79" t="s">
        <v>144</v>
      </c>
      <c r="M79" t="s">
        <v>144</v>
      </c>
      <c r="N79" s="4">
        <v>45545</v>
      </c>
      <c r="U79" t="s">
        <v>50</v>
      </c>
      <c r="AA79" t="s">
        <v>255</v>
      </c>
      <c r="AD79" t="s">
        <v>297</v>
      </c>
      <c r="AE79" t="s">
        <v>100</v>
      </c>
      <c r="AG79" s="2">
        <v>45551</v>
      </c>
      <c r="AJ79" s="4">
        <v>45574</v>
      </c>
      <c r="AK79" s="4">
        <v>45547</v>
      </c>
      <c r="AL79" t="s">
        <v>231</v>
      </c>
      <c r="AM79" t="s">
        <v>102</v>
      </c>
      <c r="AN79">
        <v>2</v>
      </c>
      <c r="AO79">
        <v>6</v>
      </c>
      <c r="AQ79">
        <f t="shared" si="2"/>
        <v>6</v>
      </c>
      <c r="AR79">
        <f t="shared" si="3"/>
        <v>2024</v>
      </c>
    </row>
    <row r="80" spans="2:44" x14ac:dyDescent="0.25">
      <c r="B80" t="s">
        <v>298</v>
      </c>
      <c r="C80" t="s">
        <v>43</v>
      </c>
      <c r="D80" t="s">
        <v>43</v>
      </c>
      <c r="E80" t="s">
        <v>153</v>
      </c>
      <c r="F80" t="s">
        <v>45</v>
      </c>
      <c r="G80" t="s">
        <v>131</v>
      </c>
      <c r="H80" t="s">
        <v>47</v>
      </c>
      <c r="I80" t="s">
        <v>299</v>
      </c>
      <c r="K80" t="s">
        <v>199</v>
      </c>
      <c r="L80" t="s">
        <v>211</v>
      </c>
      <c r="M80" t="s">
        <v>211</v>
      </c>
      <c r="N80" s="4">
        <v>45546</v>
      </c>
      <c r="U80" t="s">
        <v>114</v>
      </c>
      <c r="AN80">
        <v>0</v>
      </c>
      <c r="AO80">
        <v>475</v>
      </c>
      <c r="AQ80" t="str">
        <f t="shared" si="2"/>
        <v/>
      </c>
      <c r="AR80">
        <f t="shared" si="3"/>
        <v>2024</v>
      </c>
    </row>
    <row r="81" spans="2:44" x14ac:dyDescent="0.25">
      <c r="B81" t="s">
        <v>300</v>
      </c>
      <c r="C81" t="s">
        <v>139</v>
      </c>
      <c r="D81" t="s">
        <v>139</v>
      </c>
      <c r="E81" t="s">
        <v>153</v>
      </c>
      <c r="F81" t="s">
        <v>45</v>
      </c>
      <c r="G81" t="s">
        <v>131</v>
      </c>
      <c r="H81" t="s">
        <v>301</v>
      </c>
      <c r="K81" t="s">
        <v>57</v>
      </c>
      <c r="L81" t="s">
        <v>302</v>
      </c>
      <c r="M81" t="s">
        <v>303</v>
      </c>
      <c r="N81" s="4">
        <v>45532</v>
      </c>
      <c r="U81" t="s">
        <v>50</v>
      </c>
      <c r="AA81" t="s">
        <v>149</v>
      </c>
      <c r="AD81" t="s">
        <v>304</v>
      </c>
      <c r="AE81" t="s">
        <v>57</v>
      </c>
      <c r="AG81" s="2">
        <v>45600</v>
      </c>
      <c r="AJ81" s="2">
        <v>45538</v>
      </c>
      <c r="AK81" s="4">
        <v>45559</v>
      </c>
      <c r="AL81" t="s">
        <v>142</v>
      </c>
      <c r="AM81" t="s">
        <v>102</v>
      </c>
      <c r="AN81">
        <v>21</v>
      </c>
      <c r="AO81">
        <v>68</v>
      </c>
      <c r="AQ81">
        <f t="shared" si="2"/>
        <v>68</v>
      </c>
      <c r="AR81">
        <f t="shared" si="3"/>
        <v>2024</v>
      </c>
    </row>
    <row r="82" spans="2:44" x14ac:dyDescent="0.25">
      <c r="B82" t="s">
        <v>122</v>
      </c>
      <c r="C82" t="s">
        <v>43</v>
      </c>
      <c r="D82" t="s">
        <v>43</v>
      </c>
      <c r="E82" t="s">
        <v>44</v>
      </c>
      <c r="F82" t="s">
        <v>45</v>
      </c>
      <c r="G82" t="s">
        <v>131</v>
      </c>
      <c r="H82" t="s">
        <v>301</v>
      </c>
      <c r="K82" t="s">
        <v>44</v>
      </c>
      <c r="L82" t="s">
        <v>123</v>
      </c>
      <c r="M82" t="s">
        <v>123</v>
      </c>
      <c r="N82" s="4">
        <v>45474</v>
      </c>
      <c r="U82" t="s">
        <v>50</v>
      </c>
      <c r="AA82" t="s">
        <v>149</v>
      </c>
      <c r="AD82" t="s">
        <v>305</v>
      </c>
      <c r="AE82" t="s">
        <v>100</v>
      </c>
      <c r="AG82" s="2">
        <v>45566</v>
      </c>
      <c r="AJ82" s="2">
        <v>45540</v>
      </c>
      <c r="AK82" s="4">
        <v>45553</v>
      </c>
      <c r="AL82" t="s">
        <v>125</v>
      </c>
      <c r="AM82" t="s">
        <v>102</v>
      </c>
      <c r="AN82">
        <v>13</v>
      </c>
      <c r="AO82">
        <v>92</v>
      </c>
      <c r="AQ82">
        <f t="shared" si="2"/>
        <v>92</v>
      </c>
      <c r="AR82">
        <f t="shared" si="3"/>
        <v>2024</v>
      </c>
    </row>
    <row r="83" spans="2:44" x14ac:dyDescent="0.25">
      <c r="B83" t="s">
        <v>122</v>
      </c>
      <c r="C83" t="s">
        <v>128</v>
      </c>
      <c r="D83" t="s">
        <v>128</v>
      </c>
      <c r="E83" t="s">
        <v>44</v>
      </c>
      <c r="F83" t="s">
        <v>45</v>
      </c>
      <c r="G83" t="s">
        <v>131</v>
      </c>
      <c r="H83" t="s">
        <v>301</v>
      </c>
      <c r="K83" t="s">
        <v>44</v>
      </c>
      <c r="L83" t="s">
        <v>123</v>
      </c>
      <c r="M83" t="s">
        <v>123</v>
      </c>
      <c r="N83" s="4">
        <v>45474</v>
      </c>
      <c r="U83" t="s">
        <v>50</v>
      </c>
      <c r="AA83" t="s">
        <v>149</v>
      </c>
      <c r="AD83" t="s">
        <v>306</v>
      </c>
      <c r="AE83" t="s">
        <v>100</v>
      </c>
      <c r="AG83" s="2">
        <v>45567</v>
      </c>
      <c r="AJ83" s="2">
        <v>45544</v>
      </c>
      <c r="AK83" s="4">
        <v>45558</v>
      </c>
      <c r="AL83" t="s">
        <v>125</v>
      </c>
      <c r="AM83" t="s">
        <v>102</v>
      </c>
      <c r="AN83">
        <v>14</v>
      </c>
      <c r="AO83">
        <v>93</v>
      </c>
      <c r="AQ83">
        <f t="shared" si="2"/>
        <v>93</v>
      </c>
      <c r="AR83">
        <f t="shared" si="3"/>
        <v>2024</v>
      </c>
    </row>
    <row r="84" spans="2:44" x14ac:dyDescent="0.25">
      <c r="B84" t="s">
        <v>307</v>
      </c>
      <c r="C84" t="s">
        <v>128</v>
      </c>
      <c r="D84" t="s">
        <v>128</v>
      </c>
      <c r="E84" t="s">
        <v>44</v>
      </c>
      <c r="F84" t="s">
        <v>45</v>
      </c>
      <c r="G84" t="s">
        <v>131</v>
      </c>
      <c r="H84" t="s">
        <v>301</v>
      </c>
      <c r="K84" t="s">
        <v>44</v>
      </c>
      <c r="L84" t="s">
        <v>123</v>
      </c>
      <c r="M84" t="s">
        <v>123</v>
      </c>
      <c r="N84" s="4">
        <v>45474</v>
      </c>
      <c r="U84" t="s">
        <v>50</v>
      </c>
      <c r="AA84" t="s">
        <v>149</v>
      </c>
      <c r="AD84" t="s">
        <v>308</v>
      </c>
      <c r="AE84" t="s">
        <v>100</v>
      </c>
      <c r="AG84" s="2">
        <v>45572</v>
      </c>
      <c r="AJ84" s="4">
        <v>45574</v>
      </c>
      <c r="AK84" s="4">
        <v>45559</v>
      </c>
      <c r="AL84" t="s">
        <v>125</v>
      </c>
      <c r="AM84" t="s">
        <v>102</v>
      </c>
      <c r="AN84">
        <v>14</v>
      </c>
      <c r="AO84">
        <v>98</v>
      </c>
      <c r="AQ84">
        <f t="shared" si="2"/>
        <v>98</v>
      </c>
      <c r="AR84">
        <f t="shared" si="3"/>
        <v>2024</v>
      </c>
    </row>
    <row r="85" spans="2:44" x14ac:dyDescent="0.25">
      <c r="B85" t="s">
        <v>309</v>
      </c>
      <c r="C85" t="s">
        <v>43</v>
      </c>
      <c r="D85" t="s">
        <v>43</v>
      </c>
      <c r="E85" t="s">
        <v>44</v>
      </c>
      <c r="F85" t="s">
        <v>45</v>
      </c>
      <c r="G85" t="s">
        <v>131</v>
      </c>
      <c r="H85" t="s">
        <v>301</v>
      </c>
      <c r="K85" t="s">
        <v>44</v>
      </c>
      <c r="L85" t="s">
        <v>302</v>
      </c>
      <c r="M85" t="s">
        <v>302</v>
      </c>
      <c r="N85" s="4">
        <v>45547</v>
      </c>
      <c r="U85" t="s">
        <v>50</v>
      </c>
      <c r="AA85" t="s">
        <v>255</v>
      </c>
      <c r="AD85" t="s">
        <v>310</v>
      </c>
      <c r="AE85" t="s">
        <v>100</v>
      </c>
      <c r="AG85" t="s">
        <v>311</v>
      </c>
      <c r="AJ85" s="4">
        <v>45635</v>
      </c>
      <c r="AK85" s="4" t="s">
        <v>312</v>
      </c>
      <c r="AL85" t="s">
        <v>136</v>
      </c>
      <c r="AM85" t="s">
        <v>102</v>
      </c>
      <c r="AN85">
        <v>8</v>
      </c>
      <c r="AO85">
        <v>32</v>
      </c>
      <c r="AQ85">
        <f t="shared" si="2"/>
        <v>32</v>
      </c>
      <c r="AR85">
        <f t="shared" si="3"/>
        <v>2024</v>
      </c>
    </row>
    <row r="86" spans="2:44" x14ac:dyDescent="0.25">
      <c r="B86" t="s">
        <v>313</v>
      </c>
      <c r="C86" t="s">
        <v>43</v>
      </c>
      <c r="D86" t="s">
        <v>43</v>
      </c>
      <c r="E86" t="s">
        <v>44</v>
      </c>
      <c r="F86" t="s">
        <v>45</v>
      </c>
      <c r="G86" t="s">
        <v>131</v>
      </c>
      <c r="H86" t="s">
        <v>301</v>
      </c>
      <c r="K86" t="s">
        <v>44</v>
      </c>
      <c r="L86" t="s">
        <v>144</v>
      </c>
      <c r="M86" t="s">
        <v>144</v>
      </c>
      <c r="N86" s="4">
        <v>45554</v>
      </c>
      <c r="U86" t="s">
        <v>50</v>
      </c>
      <c r="AA86" t="s">
        <v>255</v>
      </c>
      <c r="AE86" t="s">
        <v>100</v>
      </c>
      <c r="AG86" s="2">
        <v>45555</v>
      </c>
      <c r="AJ86" s="2">
        <v>45554</v>
      </c>
      <c r="AK86" s="4">
        <v>45554</v>
      </c>
      <c r="AL86" t="s">
        <v>148</v>
      </c>
      <c r="AM86" t="s">
        <v>270</v>
      </c>
      <c r="AN86">
        <v>0</v>
      </c>
      <c r="AO86">
        <v>1</v>
      </c>
      <c r="AQ86">
        <f t="shared" si="2"/>
        <v>1</v>
      </c>
      <c r="AR86">
        <f t="shared" si="3"/>
        <v>2024</v>
      </c>
    </row>
    <row r="87" spans="2:44" x14ac:dyDescent="0.25">
      <c r="B87" t="s">
        <v>313</v>
      </c>
      <c r="C87" t="s">
        <v>43</v>
      </c>
      <c r="D87" t="s">
        <v>43</v>
      </c>
      <c r="E87" t="s">
        <v>44</v>
      </c>
      <c r="F87" t="s">
        <v>45</v>
      </c>
      <c r="G87" t="s">
        <v>131</v>
      </c>
      <c r="H87" t="s">
        <v>301</v>
      </c>
      <c r="K87" t="s">
        <v>44</v>
      </c>
      <c r="L87" t="s">
        <v>144</v>
      </c>
      <c r="M87" t="s">
        <v>144</v>
      </c>
      <c r="N87" s="4">
        <v>45554</v>
      </c>
      <c r="U87" t="s">
        <v>50</v>
      </c>
      <c r="AA87" t="s">
        <v>255</v>
      </c>
      <c r="AE87" t="s">
        <v>100</v>
      </c>
      <c r="AG87" s="2">
        <v>45555</v>
      </c>
      <c r="AJ87" s="2">
        <v>45554</v>
      </c>
      <c r="AK87" s="4">
        <v>45554</v>
      </c>
      <c r="AL87" t="s">
        <v>148</v>
      </c>
      <c r="AM87" t="s">
        <v>270</v>
      </c>
      <c r="AN87">
        <v>0</v>
      </c>
      <c r="AO87">
        <v>1</v>
      </c>
      <c r="AQ87">
        <f t="shared" si="2"/>
        <v>1</v>
      </c>
      <c r="AR87">
        <f t="shared" si="3"/>
        <v>2024</v>
      </c>
    </row>
    <row r="88" spans="2:44" x14ac:dyDescent="0.25">
      <c r="B88" t="s">
        <v>313</v>
      </c>
      <c r="C88" t="s">
        <v>43</v>
      </c>
      <c r="D88" t="s">
        <v>43</v>
      </c>
      <c r="E88" t="s">
        <v>44</v>
      </c>
      <c r="F88" t="s">
        <v>45</v>
      </c>
      <c r="G88" t="s">
        <v>131</v>
      </c>
      <c r="H88" t="s">
        <v>301</v>
      </c>
      <c r="K88" t="s">
        <v>44</v>
      </c>
      <c r="L88" t="s">
        <v>144</v>
      </c>
      <c r="M88" t="s">
        <v>144</v>
      </c>
      <c r="N88" s="4">
        <v>45554</v>
      </c>
      <c r="U88" t="s">
        <v>50</v>
      </c>
      <c r="AA88" t="s">
        <v>255</v>
      </c>
      <c r="AE88" t="s">
        <v>100</v>
      </c>
      <c r="AG88" s="2">
        <v>45555</v>
      </c>
      <c r="AJ88" s="2">
        <v>45554</v>
      </c>
      <c r="AK88" s="4">
        <v>45554</v>
      </c>
      <c r="AL88" t="s">
        <v>148</v>
      </c>
      <c r="AM88" t="s">
        <v>270</v>
      </c>
      <c r="AN88">
        <v>0</v>
      </c>
      <c r="AO88">
        <v>1</v>
      </c>
      <c r="AQ88">
        <f t="shared" si="2"/>
        <v>1</v>
      </c>
      <c r="AR88">
        <f t="shared" si="3"/>
        <v>2024</v>
      </c>
    </row>
    <row r="89" spans="2:44" x14ac:dyDescent="0.25">
      <c r="B89" t="s">
        <v>314</v>
      </c>
      <c r="C89" t="s">
        <v>43</v>
      </c>
      <c r="D89" t="s">
        <v>43</v>
      </c>
      <c r="E89" t="s">
        <v>153</v>
      </c>
      <c r="F89" t="s">
        <v>45</v>
      </c>
      <c r="G89" t="s">
        <v>131</v>
      </c>
      <c r="H89" t="s">
        <v>301</v>
      </c>
      <c r="K89" t="s">
        <v>315</v>
      </c>
      <c r="L89" t="s">
        <v>144</v>
      </c>
      <c r="M89" t="s">
        <v>144</v>
      </c>
      <c r="N89" s="4">
        <v>45554</v>
      </c>
      <c r="U89" t="s">
        <v>50</v>
      </c>
      <c r="AA89" t="s">
        <v>255</v>
      </c>
      <c r="AE89" t="s">
        <v>315</v>
      </c>
      <c r="AG89" s="2">
        <v>45566</v>
      </c>
      <c r="AJ89" s="2">
        <v>45554</v>
      </c>
      <c r="AK89" s="4">
        <v>45560</v>
      </c>
      <c r="AL89" t="s">
        <v>218</v>
      </c>
      <c r="AM89" t="s">
        <v>270</v>
      </c>
      <c r="AN89">
        <v>6</v>
      </c>
      <c r="AO89">
        <v>12</v>
      </c>
      <c r="AQ89">
        <f t="shared" si="2"/>
        <v>12</v>
      </c>
      <c r="AR89">
        <f t="shared" si="3"/>
        <v>2024</v>
      </c>
    </row>
    <row r="90" spans="2:44" x14ac:dyDescent="0.25">
      <c r="B90" t="s">
        <v>314</v>
      </c>
      <c r="C90" t="s">
        <v>43</v>
      </c>
      <c r="D90" t="s">
        <v>43</v>
      </c>
      <c r="E90" t="s">
        <v>153</v>
      </c>
      <c r="F90" t="s">
        <v>45</v>
      </c>
      <c r="G90" t="s">
        <v>131</v>
      </c>
      <c r="H90" t="s">
        <v>301</v>
      </c>
      <c r="K90" t="s">
        <v>316</v>
      </c>
      <c r="L90" t="s">
        <v>144</v>
      </c>
      <c r="M90" t="s">
        <v>144</v>
      </c>
      <c r="N90" s="4">
        <v>45554</v>
      </c>
      <c r="U90" t="s">
        <v>50</v>
      </c>
      <c r="AA90" t="s">
        <v>255</v>
      </c>
      <c r="AE90" t="s">
        <v>316</v>
      </c>
      <c r="AG90" s="2">
        <v>45566</v>
      </c>
      <c r="AJ90" s="2">
        <v>45554</v>
      </c>
      <c r="AK90" s="4">
        <v>45561</v>
      </c>
      <c r="AL90" t="s">
        <v>218</v>
      </c>
      <c r="AM90" t="s">
        <v>270</v>
      </c>
      <c r="AN90">
        <v>7</v>
      </c>
      <c r="AO90">
        <v>12</v>
      </c>
      <c r="AQ90">
        <f t="shared" si="2"/>
        <v>12</v>
      </c>
      <c r="AR90">
        <f t="shared" si="3"/>
        <v>2024</v>
      </c>
    </row>
    <row r="91" spans="2:44" x14ac:dyDescent="0.25">
      <c r="B91" t="s">
        <v>228</v>
      </c>
      <c r="C91" t="s">
        <v>43</v>
      </c>
      <c r="D91" t="s">
        <v>43</v>
      </c>
      <c r="E91" t="s">
        <v>153</v>
      </c>
      <c r="F91" t="s">
        <v>45</v>
      </c>
      <c r="G91" t="s">
        <v>131</v>
      </c>
      <c r="H91" t="s">
        <v>301</v>
      </c>
      <c r="K91" t="s">
        <v>316</v>
      </c>
      <c r="L91" t="s">
        <v>144</v>
      </c>
      <c r="M91" t="s">
        <v>144</v>
      </c>
      <c r="N91" s="4">
        <v>45554</v>
      </c>
      <c r="U91" t="s">
        <v>50</v>
      </c>
      <c r="AA91" t="s">
        <v>255</v>
      </c>
      <c r="AE91" t="s">
        <v>316</v>
      </c>
      <c r="AG91" s="2">
        <v>45566</v>
      </c>
      <c r="AJ91" s="2">
        <v>45554</v>
      </c>
      <c r="AK91" s="4">
        <v>45561</v>
      </c>
      <c r="AL91" t="s">
        <v>218</v>
      </c>
      <c r="AM91" t="s">
        <v>270</v>
      </c>
      <c r="AN91">
        <v>7</v>
      </c>
      <c r="AO91">
        <v>12</v>
      </c>
      <c r="AQ91">
        <f t="shared" si="2"/>
        <v>12</v>
      </c>
      <c r="AR91">
        <f t="shared" si="3"/>
        <v>2024</v>
      </c>
    </row>
    <row r="92" spans="2:44" x14ac:dyDescent="0.25">
      <c r="B92" t="s">
        <v>317</v>
      </c>
      <c r="C92" t="s">
        <v>43</v>
      </c>
      <c r="D92" t="s">
        <v>43</v>
      </c>
      <c r="E92" t="s">
        <v>44</v>
      </c>
      <c r="F92" t="s">
        <v>45</v>
      </c>
      <c r="G92" t="s">
        <v>131</v>
      </c>
      <c r="H92" t="s">
        <v>301</v>
      </c>
      <c r="K92" t="s">
        <v>44</v>
      </c>
      <c r="L92" t="s">
        <v>318</v>
      </c>
      <c r="M92" t="s">
        <v>318</v>
      </c>
      <c r="N92" s="4">
        <v>45559</v>
      </c>
      <c r="U92" t="s">
        <v>114</v>
      </c>
      <c r="AA92" t="s">
        <v>255</v>
      </c>
      <c r="AE92" t="s">
        <v>100</v>
      </c>
      <c r="AJ92" s="2">
        <v>45559</v>
      </c>
      <c r="AL92" t="s">
        <v>319</v>
      </c>
      <c r="AM92" t="s">
        <v>163</v>
      </c>
      <c r="AN92">
        <v>0</v>
      </c>
      <c r="AO92">
        <v>462</v>
      </c>
      <c r="AQ92" t="str">
        <f t="shared" si="2"/>
        <v/>
      </c>
      <c r="AR92">
        <f t="shared" si="3"/>
        <v>2024</v>
      </c>
    </row>
    <row r="93" spans="2:44" x14ac:dyDescent="0.25">
      <c r="B93" t="s">
        <v>95</v>
      </c>
      <c r="C93" t="s">
        <v>43</v>
      </c>
      <c r="D93" t="s">
        <v>43</v>
      </c>
      <c r="E93" t="s">
        <v>153</v>
      </c>
      <c r="F93" t="s">
        <v>158</v>
      </c>
      <c r="G93" t="s">
        <v>131</v>
      </c>
      <c r="H93" t="s">
        <v>301</v>
      </c>
      <c r="K93" t="s">
        <v>320</v>
      </c>
      <c r="L93" t="s">
        <v>59</v>
      </c>
      <c r="M93" t="s">
        <v>59</v>
      </c>
      <c r="N93" s="4">
        <v>45547</v>
      </c>
      <c r="U93" t="s">
        <v>50</v>
      </c>
      <c r="AA93" t="s">
        <v>149</v>
      </c>
      <c r="AD93" t="s">
        <v>321</v>
      </c>
      <c r="AE93" t="s">
        <v>132</v>
      </c>
      <c r="AG93" s="2">
        <v>45579</v>
      </c>
      <c r="AJ93" s="2">
        <v>45547</v>
      </c>
      <c r="AK93" s="4">
        <v>45560</v>
      </c>
      <c r="AL93" t="s">
        <v>62</v>
      </c>
      <c r="AM93" t="s">
        <v>163</v>
      </c>
      <c r="AN93">
        <v>13</v>
      </c>
      <c r="AO93">
        <v>32</v>
      </c>
      <c r="AQ93">
        <f t="shared" si="2"/>
        <v>32</v>
      </c>
      <c r="AR93">
        <f t="shared" si="3"/>
        <v>2024</v>
      </c>
    </row>
    <row r="94" spans="2:44" x14ac:dyDescent="0.25">
      <c r="B94" t="s">
        <v>322</v>
      </c>
      <c r="E94" t="s">
        <v>44</v>
      </c>
      <c r="F94" t="s">
        <v>158</v>
      </c>
      <c r="G94" t="s">
        <v>131</v>
      </c>
      <c r="K94" t="s">
        <v>44</v>
      </c>
      <c r="U94" t="s">
        <v>50</v>
      </c>
      <c r="AA94" t="s">
        <v>255</v>
      </c>
      <c r="AE94" t="s">
        <v>100</v>
      </c>
      <c r="AG94" s="2">
        <v>45566</v>
      </c>
      <c r="AM94" t="s">
        <v>270</v>
      </c>
      <c r="AN94">
        <v>0</v>
      </c>
      <c r="AO94">
        <v>45566</v>
      </c>
      <c r="AQ94" t="str">
        <f t="shared" si="2"/>
        <v/>
      </c>
      <c r="AR94">
        <f t="shared" si="3"/>
        <v>1900</v>
      </c>
    </row>
    <row r="95" spans="2:44" x14ac:dyDescent="0.25">
      <c r="B95" t="s">
        <v>273</v>
      </c>
      <c r="E95" t="s">
        <v>44</v>
      </c>
      <c r="F95" t="s">
        <v>158</v>
      </c>
      <c r="G95" t="s">
        <v>131</v>
      </c>
      <c r="K95" t="s">
        <v>44</v>
      </c>
      <c r="U95" t="s">
        <v>50</v>
      </c>
      <c r="AA95" t="s">
        <v>255</v>
      </c>
      <c r="AE95" t="s">
        <v>100</v>
      </c>
      <c r="AG95" s="2">
        <v>45566</v>
      </c>
      <c r="AM95" t="s">
        <v>270</v>
      </c>
      <c r="AN95">
        <v>0</v>
      </c>
      <c r="AO95">
        <v>45566</v>
      </c>
      <c r="AQ95" t="str">
        <f t="shared" si="2"/>
        <v/>
      </c>
      <c r="AR95">
        <f t="shared" si="3"/>
        <v>1900</v>
      </c>
    </row>
    <row r="96" spans="2:44" x14ac:dyDescent="0.25">
      <c r="B96" t="s">
        <v>323</v>
      </c>
      <c r="E96" t="s">
        <v>44</v>
      </c>
      <c r="F96" t="s">
        <v>158</v>
      </c>
      <c r="G96" t="s">
        <v>131</v>
      </c>
      <c r="K96" t="s">
        <v>44</v>
      </c>
      <c r="U96" t="s">
        <v>50</v>
      </c>
      <c r="AA96" t="s">
        <v>255</v>
      </c>
      <c r="AE96" t="s">
        <v>100</v>
      </c>
      <c r="AG96" s="2">
        <v>45618</v>
      </c>
      <c r="AM96" t="s">
        <v>270</v>
      </c>
      <c r="AN96">
        <v>0</v>
      </c>
      <c r="AO96">
        <v>45618</v>
      </c>
      <c r="AQ96" t="str">
        <f t="shared" si="2"/>
        <v/>
      </c>
      <c r="AR96">
        <f t="shared" si="3"/>
        <v>1900</v>
      </c>
    </row>
    <row r="97" spans="2:44" x14ac:dyDescent="0.25">
      <c r="B97" t="s">
        <v>275</v>
      </c>
      <c r="E97" t="s">
        <v>44</v>
      </c>
      <c r="F97" t="s">
        <v>158</v>
      </c>
      <c r="G97" t="s">
        <v>131</v>
      </c>
      <c r="K97" t="s">
        <v>44</v>
      </c>
      <c r="U97" t="s">
        <v>50</v>
      </c>
      <c r="AA97" t="s">
        <v>255</v>
      </c>
      <c r="AE97" t="s">
        <v>100</v>
      </c>
      <c r="AG97" s="2">
        <v>45575</v>
      </c>
      <c r="AM97" t="s">
        <v>270</v>
      </c>
      <c r="AN97">
        <v>0</v>
      </c>
      <c r="AO97">
        <v>45575</v>
      </c>
      <c r="AQ97" t="str">
        <f t="shared" si="2"/>
        <v/>
      </c>
      <c r="AR97">
        <f t="shared" si="3"/>
        <v>1900</v>
      </c>
    </row>
    <row r="98" spans="2:44" x14ac:dyDescent="0.25">
      <c r="B98" t="s">
        <v>228</v>
      </c>
      <c r="E98" t="s">
        <v>44</v>
      </c>
      <c r="F98" t="s">
        <v>158</v>
      </c>
      <c r="G98" t="s">
        <v>131</v>
      </c>
      <c r="K98" t="s">
        <v>44</v>
      </c>
      <c r="U98" t="s">
        <v>50</v>
      </c>
      <c r="AA98" t="s">
        <v>255</v>
      </c>
      <c r="AE98" t="s">
        <v>100</v>
      </c>
      <c r="AG98" s="2">
        <v>45566</v>
      </c>
      <c r="AM98" t="s">
        <v>270</v>
      </c>
      <c r="AN98">
        <v>0</v>
      </c>
      <c r="AO98">
        <v>45566</v>
      </c>
      <c r="AQ98" t="str">
        <f t="shared" si="2"/>
        <v/>
      </c>
      <c r="AR98">
        <f t="shared" si="3"/>
        <v>1900</v>
      </c>
    </row>
    <row r="99" spans="2:44" x14ac:dyDescent="0.25">
      <c r="B99" t="s">
        <v>228</v>
      </c>
      <c r="E99" t="s">
        <v>44</v>
      </c>
      <c r="F99" t="s">
        <v>158</v>
      </c>
      <c r="G99" t="s">
        <v>131</v>
      </c>
      <c r="K99" t="s">
        <v>44</v>
      </c>
      <c r="U99" t="s">
        <v>50</v>
      </c>
      <c r="AA99" t="s">
        <v>255</v>
      </c>
      <c r="AE99" t="s">
        <v>100</v>
      </c>
      <c r="AG99" s="2">
        <v>45566</v>
      </c>
      <c r="AM99" t="s">
        <v>270</v>
      </c>
      <c r="AN99">
        <v>0</v>
      </c>
      <c r="AO99">
        <v>45566</v>
      </c>
      <c r="AQ99" t="str">
        <f t="shared" si="2"/>
        <v/>
      </c>
      <c r="AR99">
        <f t="shared" si="3"/>
        <v>1900</v>
      </c>
    </row>
    <row r="100" spans="2:44" x14ac:dyDescent="0.25">
      <c r="B100" t="s">
        <v>324</v>
      </c>
      <c r="E100" t="s">
        <v>44</v>
      </c>
      <c r="F100" t="s">
        <v>158</v>
      </c>
      <c r="G100" t="s">
        <v>131</v>
      </c>
      <c r="K100" t="s">
        <v>44</v>
      </c>
      <c r="U100" t="s">
        <v>50</v>
      </c>
      <c r="AA100" t="s">
        <v>255</v>
      </c>
      <c r="AE100" t="s">
        <v>100</v>
      </c>
      <c r="AG100" s="2">
        <v>45566</v>
      </c>
      <c r="AM100" t="s">
        <v>270</v>
      </c>
      <c r="AN100">
        <v>0</v>
      </c>
      <c r="AO100">
        <v>45566</v>
      </c>
      <c r="AQ100" t="str">
        <f t="shared" si="2"/>
        <v/>
      </c>
      <c r="AR100">
        <f t="shared" si="3"/>
        <v>1900</v>
      </c>
    </row>
    <row r="101" spans="2:44" x14ac:dyDescent="0.25">
      <c r="B101" t="s">
        <v>325</v>
      </c>
      <c r="E101" t="s">
        <v>44</v>
      </c>
      <c r="F101" t="s">
        <v>158</v>
      </c>
      <c r="G101" t="s">
        <v>131</v>
      </c>
      <c r="K101" t="s">
        <v>44</v>
      </c>
      <c r="U101" t="s">
        <v>50</v>
      </c>
      <c r="AA101" t="s">
        <v>255</v>
      </c>
      <c r="AE101" t="s">
        <v>100</v>
      </c>
      <c r="AG101" s="2">
        <v>45579</v>
      </c>
      <c r="AM101" t="s">
        <v>270</v>
      </c>
      <c r="AN101">
        <v>0</v>
      </c>
      <c r="AO101">
        <v>45579</v>
      </c>
      <c r="AQ101" t="str">
        <f t="shared" si="2"/>
        <v/>
      </c>
      <c r="AR101">
        <f t="shared" si="3"/>
        <v>1900</v>
      </c>
    </row>
    <row r="102" spans="2:44" x14ac:dyDescent="0.25">
      <c r="B102" t="s">
        <v>326</v>
      </c>
      <c r="E102" t="s">
        <v>44</v>
      </c>
      <c r="F102" t="s">
        <v>158</v>
      </c>
      <c r="G102" t="s">
        <v>131</v>
      </c>
      <c r="K102" t="s">
        <v>44</v>
      </c>
      <c r="U102" t="s">
        <v>50</v>
      </c>
      <c r="AA102" t="s">
        <v>255</v>
      </c>
      <c r="AE102" t="s">
        <v>100</v>
      </c>
      <c r="AG102" s="2">
        <v>45572</v>
      </c>
      <c r="AM102" t="s">
        <v>270</v>
      </c>
      <c r="AN102">
        <v>0</v>
      </c>
      <c r="AO102">
        <v>45572</v>
      </c>
      <c r="AQ102" t="str">
        <f t="shared" si="2"/>
        <v/>
      </c>
      <c r="AR102">
        <f t="shared" si="3"/>
        <v>1900</v>
      </c>
    </row>
    <row r="103" spans="2:44" x14ac:dyDescent="0.25">
      <c r="B103" t="s">
        <v>327</v>
      </c>
      <c r="C103" t="s">
        <v>43</v>
      </c>
      <c r="E103" t="s">
        <v>44</v>
      </c>
      <c r="F103" t="s">
        <v>158</v>
      </c>
      <c r="G103" t="s">
        <v>131</v>
      </c>
      <c r="H103" t="s">
        <v>47</v>
      </c>
      <c r="I103" t="s">
        <v>328</v>
      </c>
      <c r="K103" t="s">
        <v>44</v>
      </c>
      <c r="L103" t="s">
        <v>329</v>
      </c>
      <c r="M103" t="s">
        <v>279</v>
      </c>
      <c r="N103" s="4">
        <v>45561</v>
      </c>
      <c r="U103" t="s">
        <v>50</v>
      </c>
      <c r="AA103" t="s">
        <v>149</v>
      </c>
      <c r="AB103" t="s">
        <v>330</v>
      </c>
      <c r="AC103" t="s">
        <v>330</v>
      </c>
      <c r="AD103" t="s">
        <v>330</v>
      </c>
      <c r="AE103" t="s">
        <v>100</v>
      </c>
      <c r="AG103" s="2">
        <v>45601</v>
      </c>
      <c r="AJ103" s="2">
        <v>45580</v>
      </c>
      <c r="AK103" s="4">
        <v>45593</v>
      </c>
      <c r="AL103" t="s">
        <v>331</v>
      </c>
      <c r="AM103" t="s">
        <v>102</v>
      </c>
      <c r="AN103">
        <v>13</v>
      </c>
      <c r="AO103">
        <v>40</v>
      </c>
      <c r="AQ103">
        <f t="shared" si="2"/>
        <v>40</v>
      </c>
      <c r="AR103">
        <f t="shared" si="3"/>
        <v>2024</v>
      </c>
    </row>
    <row r="104" spans="2:44" x14ac:dyDescent="0.25">
      <c r="B104" t="s">
        <v>332</v>
      </c>
      <c r="C104" t="s">
        <v>43</v>
      </c>
      <c r="E104" t="s">
        <v>44</v>
      </c>
      <c r="F104" t="s">
        <v>158</v>
      </c>
      <c r="G104" t="s">
        <v>131</v>
      </c>
      <c r="H104" t="s">
        <v>47</v>
      </c>
      <c r="K104" t="s">
        <v>44</v>
      </c>
      <c r="L104" t="s">
        <v>329</v>
      </c>
      <c r="M104" t="s">
        <v>333</v>
      </c>
      <c r="N104" s="4">
        <v>45502</v>
      </c>
      <c r="U104" t="s">
        <v>50</v>
      </c>
      <c r="AA104" t="s">
        <v>149</v>
      </c>
      <c r="AD104" t="s">
        <v>334</v>
      </c>
      <c r="AE104" t="s">
        <v>100</v>
      </c>
      <c r="AG104" s="2">
        <v>45600</v>
      </c>
      <c r="AJ104" s="2">
        <v>45561</v>
      </c>
      <c r="AK104" s="4">
        <v>45593</v>
      </c>
      <c r="AL104" t="s">
        <v>187</v>
      </c>
      <c r="AM104" t="s">
        <v>102</v>
      </c>
      <c r="AN104">
        <v>32</v>
      </c>
      <c r="AO104">
        <v>98</v>
      </c>
      <c r="AQ104">
        <f t="shared" si="2"/>
        <v>98</v>
      </c>
      <c r="AR104">
        <f t="shared" si="3"/>
        <v>2024</v>
      </c>
    </row>
    <row r="105" spans="2:44" x14ac:dyDescent="0.25">
      <c r="B105" t="s">
        <v>335</v>
      </c>
      <c r="E105" t="s">
        <v>44</v>
      </c>
      <c r="F105" t="s">
        <v>158</v>
      </c>
      <c r="G105" t="s">
        <v>131</v>
      </c>
      <c r="H105" t="s">
        <v>47</v>
      </c>
      <c r="I105" t="s">
        <v>336</v>
      </c>
      <c r="K105" t="s">
        <v>44</v>
      </c>
      <c r="L105" t="s">
        <v>302</v>
      </c>
      <c r="M105" t="s">
        <v>337</v>
      </c>
      <c r="N105" s="4">
        <v>45587</v>
      </c>
      <c r="U105" t="s">
        <v>50</v>
      </c>
      <c r="AA105" t="s">
        <v>255</v>
      </c>
      <c r="AD105" t="s">
        <v>338</v>
      </c>
      <c r="AE105" t="s">
        <v>100</v>
      </c>
      <c r="AG105" s="2">
        <v>45600</v>
      </c>
      <c r="AJ105" s="2">
        <v>45588</v>
      </c>
      <c r="AK105" s="4">
        <v>45593</v>
      </c>
      <c r="AL105" t="s">
        <v>339</v>
      </c>
      <c r="AM105" t="s">
        <v>102</v>
      </c>
      <c r="AN105">
        <v>5</v>
      </c>
      <c r="AO105">
        <v>13</v>
      </c>
      <c r="AQ105">
        <f t="shared" si="2"/>
        <v>13</v>
      </c>
      <c r="AR105">
        <f t="shared" si="3"/>
        <v>2024</v>
      </c>
    </row>
    <row r="106" spans="2:44" x14ac:dyDescent="0.25">
      <c r="B106" t="s">
        <v>340</v>
      </c>
      <c r="C106" t="s">
        <v>43</v>
      </c>
      <c r="E106" t="s">
        <v>44</v>
      </c>
      <c r="F106" t="s">
        <v>158</v>
      </c>
      <c r="G106" t="s">
        <v>131</v>
      </c>
      <c r="H106" t="s">
        <v>47</v>
      </c>
      <c r="I106" t="s">
        <v>341</v>
      </c>
      <c r="K106" t="s">
        <v>44</v>
      </c>
      <c r="L106" t="s">
        <v>302</v>
      </c>
      <c r="M106" t="s">
        <v>337</v>
      </c>
      <c r="N106" s="4">
        <v>45621</v>
      </c>
      <c r="U106" t="s">
        <v>50</v>
      </c>
      <c r="AA106" t="s">
        <v>145</v>
      </c>
      <c r="AD106" t="s">
        <v>342</v>
      </c>
      <c r="AE106" t="s">
        <v>100</v>
      </c>
      <c r="AG106" s="2">
        <v>45649</v>
      </c>
      <c r="AJ106" s="2">
        <v>45629</v>
      </c>
      <c r="AK106" s="4">
        <v>45645</v>
      </c>
      <c r="AL106" t="s">
        <v>343</v>
      </c>
      <c r="AM106" t="s">
        <v>102</v>
      </c>
      <c r="AN106">
        <v>16</v>
      </c>
      <c r="AO106">
        <v>28</v>
      </c>
      <c r="AQ106">
        <f t="shared" si="2"/>
        <v>28</v>
      </c>
      <c r="AR106">
        <f t="shared" si="3"/>
        <v>2024</v>
      </c>
    </row>
    <row r="107" spans="2:44" x14ac:dyDescent="0.25">
      <c r="B107" t="s">
        <v>344</v>
      </c>
      <c r="C107" t="s">
        <v>43</v>
      </c>
      <c r="E107" t="s">
        <v>153</v>
      </c>
      <c r="G107" t="s">
        <v>131</v>
      </c>
      <c r="H107" t="s">
        <v>47</v>
      </c>
      <c r="I107" t="s">
        <v>345</v>
      </c>
      <c r="K107" t="s">
        <v>153</v>
      </c>
      <c r="L107" t="s">
        <v>346</v>
      </c>
      <c r="M107" t="s">
        <v>58</v>
      </c>
      <c r="N107" s="4">
        <v>45631</v>
      </c>
      <c r="U107" t="s">
        <v>50</v>
      </c>
      <c r="AA107" t="s">
        <v>51</v>
      </c>
      <c r="AD107" t="s">
        <v>347</v>
      </c>
      <c r="AE107" t="s">
        <v>153</v>
      </c>
      <c r="AG107" s="2">
        <v>45679</v>
      </c>
      <c r="AJ107" s="2">
        <v>45659</v>
      </c>
      <c r="AK107" s="4">
        <v>45667</v>
      </c>
      <c r="AL107" t="s">
        <v>348</v>
      </c>
      <c r="AM107" t="s">
        <v>102</v>
      </c>
      <c r="AN107">
        <v>8</v>
      </c>
      <c r="AO107">
        <v>48</v>
      </c>
      <c r="AQ107">
        <f t="shared" si="2"/>
        <v>48</v>
      </c>
      <c r="AR107">
        <f t="shared" si="3"/>
        <v>2024</v>
      </c>
    </row>
    <row r="108" spans="2:44" x14ac:dyDescent="0.25">
      <c r="B108" t="s">
        <v>349</v>
      </c>
      <c r="C108" t="s">
        <v>43</v>
      </c>
      <c r="E108" t="s">
        <v>153</v>
      </c>
      <c r="F108" t="s">
        <v>45</v>
      </c>
      <c r="G108" t="s">
        <v>131</v>
      </c>
      <c r="H108" t="s">
        <v>350</v>
      </c>
      <c r="I108" t="s">
        <v>351</v>
      </c>
      <c r="K108" t="s">
        <v>153</v>
      </c>
      <c r="L108" t="s">
        <v>302</v>
      </c>
      <c r="M108" t="s">
        <v>337</v>
      </c>
      <c r="N108" s="4">
        <v>45628</v>
      </c>
      <c r="U108" t="s">
        <v>50</v>
      </c>
      <c r="AA108" t="s">
        <v>51</v>
      </c>
      <c r="AD108" t="s">
        <v>352</v>
      </c>
      <c r="AE108" t="s">
        <v>153</v>
      </c>
      <c r="AG108" s="2">
        <v>45684</v>
      </c>
      <c r="AJ108" s="2">
        <v>45637</v>
      </c>
      <c r="AK108" s="4">
        <v>45652</v>
      </c>
      <c r="AL108" t="s">
        <v>353</v>
      </c>
      <c r="AM108" t="s">
        <v>102</v>
      </c>
      <c r="AN108">
        <v>15</v>
      </c>
      <c r="AO108">
        <v>56</v>
      </c>
      <c r="AQ108">
        <f t="shared" si="2"/>
        <v>56</v>
      </c>
      <c r="AR108">
        <f t="shared" si="3"/>
        <v>2024</v>
      </c>
    </row>
    <row r="109" spans="2:44" x14ac:dyDescent="0.25">
      <c r="B109" t="s">
        <v>354</v>
      </c>
      <c r="C109" t="s">
        <v>43</v>
      </c>
      <c r="E109" t="s">
        <v>44</v>
      </c>
      <c r="F109" t="s">
        <v>45</v>
      </c>
      <c r="G109" t="s">
        <v>131</v>
      </c>
      <c r="H109" t="s">
        <v>355</v>
      </c>
      <c r="K109" t="s">
        <v>44</v>
      </c>
      <c r="L109" t="s">
        <v>59</v>
      </c>
      <c r="M109" t="s">
        <v>356</v>
      </c>
      <c r="N109" s="4">
        <v>45595</v>
      </c>
      <c r="U109" t="s">
        <v>50</v>
      </c>
      <c r="AA109" t="s">
        <v>255</v>
      </c>
      <c r="AD109" t="s">
        <v>357</v>
      </c>
      <c r="AE109" t="s">
        <v>282</v>
      </c>
      <c r="AG109" s="2">
        <v>45663</v>
      </c>
      <c r="AJ109" s="2">
        <v>45595</v>
      </c>
      <c r="AK109" s="4">
        <v>45600</v>
      </c>
      <c r="AL109" t="s">
        <v>73</v>
      </c>
      <c r="AM109" t="s">
        <v>163</v>
      </c>
      <c r="AN109">
        <v>5</v>
      </c>
      <c r="AO109">
        <v>68</v>
      </c>
      <c r="AQ109">
        <f t="shared" si="2"/>
        <v>68</v>
      </c>
      <c r="AR109">
        <f t="shared" si="3"/>
        <v>2024</v>
      </c>
    </row>
    <row r="110" spans="2:44" x14ac:dyDescent="0.25">
      <c r="B110" t="s">
        <v>358</v>
      </c>
      <c r="C110" t="s">
        <v>43</v>
      </c>
      <c r="E110" t="s">
        <v>282</v>
      </c>
      <c r="F110" t="s">
        <v>45</v>
      </c>
      <c r="G110" t="s">
        <v>131</v>
      </c>
      <c r="H110" t="s">
        <v>355</v>
      </c>
      <c r="K110" t="s">
        <v>44</v>
      </c>
      <c r="L110" t="s">
        <v>59</v>
      </c>
      <c r="M110" t="s">
        <v>359</v>
      </c>
      <c r="N110" s="4">
        <v>45595</v>
      </c>
      <c r="U110" t="s">
        <v>50</v>
      </c>
      <c r="AA110" t="s">
        <v>255</v>
      </c>
      <c r="AD110" t="s">
        <v>360</v>
      </c>
      <c r="AE110" t="s">
        <v>282</v>
      </c>
      <c r="AG110" s="2">
        <v>45663</v>
      </c>
      <c r="AJ110" s="2">
        <v>45595</v>
      </c>
      <c r="AK110" s="4">
        <v>45618</v>
      </c>
      <c r="AL110" t="s">
        <v>73</v>
      </c>
      <c r="AM110" t="s">
        <v>163</v>
      </c>
      <c r="AN110">
        <v>23</v>
      </c>
      <c r="AO110">
        <v>68</v>
      </c>
      <c r="AQ110">
        <f t="shared" si="2"/>
        <v>68</v>
      </c>
      <c r="AR110">
        <f t="shared" si="3"/>
        <v>2024</v>
      </c>
    </row>
    <row r="111" spans="2:44" x14ac:dyDescent="0.25">
      <c r="B111" t="s">
        <v>95</v>
      </c>
      <c r="C111" t="s">
        <v>43</v>
      </c>
      <c r="E111" t="s">
        <v>153</v>
      </c>
      <c r="F111" t="s">
        <v>45</v>
      </c>
      <c r="G111" t="s">
        <v>361</v>
      </c>
      <c r="H111" t="s">
        <v>355</v>
      </c>
      <c r="K111" t="s">
        <v>44</v>
      </c>
      <c r="L111" t="s">
        <v>59</v>
      </c>
      <c r="M111" t="s">
        <v>58</v>
      </c>
      <c r="N111" s="4">
        <v>45616</v>
      </c>
      <c r="U111" t="s">
        <v>50</v>
      </c>
      <c r="AA111" t="s">
        <v>362</v>
      </c>
      <c r="AD111" t="s">
        <v>363</v>
      </c>
      <c r="AE111" t="s">
        <v>153</v>
      </c>
      <c r="AG111" s="2">
        <v>45659</v>
      </c>
      <c r="AJ111" s="2">
        <v>45616</v>
      </c>
      <c r="AK111" s="4">
        <v>45621</v>
      </c>
      <c r="AL111" t="s">
        <v>62</v>
      </c>
      <c r="AM111" t="s">
        <v>163</v>
      </c>
      <c r="AN111">
        <v>5</v>
      </c>
      <c r="AO111">
        <v>43</v>
      </c>
      <c r="AQ111">
        <f t="shared" si="2"/>
        <v>43</v>
      </c>
      <c r="AR111">
        <f t="shared" si="3"/>
        <v>2024</v>
      </c>
    </row>
    <row r="112" spans="2:44" x14ac:dyDescent="0.25">
      <c r="B112" t="s">
        <v>364</v>
      </c>
      <c r="C112" t="s">
        <v>43</v>
      </c>
      <c r="E112" t="s">
        <v>153</v>
      </c>
      <c r="F112" t="s">
        <v>45</v>
      </c>
      <c r="G112" t="s">
        <v>365</v>
      </c>
      <c r="H112" t="s">
        <v>355</v>
      </c>
      <c r="K112" t="s">
        <v>366</v>
      </c>
      <c r="L112" t="s">
        <v>318</v>
      </c>
      <c r="M112" t="s">
        <v>367</v>
      </c>
      <c r="N112" s="4">
        <v>45386</v>
      </c>
      <c r="U112" t="s">
        <v>50</v>
      </c>
      <c r="AA112" t="s">
        <v>51</v>
      </c>
      <c r="AD112" t="s">
        <v>368</v>
      </c>
      <c r="AE112" t="s">
        <v>153</v>
      </c>
      <c r="AG112" s="2">
        <v>45659</v>
      </c>
      <c r="AJ112" s="2">
        <v>45586</v>
      </c>
      <c r="AK112" s="4">
        <v>45629</v>
      </c>
      <c r="AL112" t="s">
        <v>369</v>
      </c>
      <c r="AM112" t="s">
        <v>163</v>
      </c>
      <c r="AN112">
        <v>43</v>
      </c>
      <c r="AO112">
        <v>273</v>
      </c>
      <c r="AQ112">
        <f t="shared" si="2"/>
        <v>273</v>
      </c>
      <c r="AR112">
        <f t="shared" si="3"/>
        <v>2024</v>
      </c>
    </row>
    <row r="113" spans="2:44" x14ac:dyDescent="0.25">
      <c r="B113" t="s">
        <v>370</v>
      </c>
      <c r="C113" t="s">
        <v>43</v>
      </c>
      <c r="E113" t="s">
        <v>44</v>
      </c>
      <c r="F113" t="s">
        <v>45</v>
      </c>
      <c r="G113" t="s">
        <v>371</v>
      </c>
      <c r="H113" t="s">
        <v>355</v>
      </c>
      <c r="K113" t="s">
        <v>44</v>
      </c>
      <c r="L113" t="s">
        <v>59</v>
      </c>
      <c r="M113" t="s">
        <v>372</v>
      </c>
      <c r="N113" s="4">
        <v>45574</v>
      </c>
      <c r="U113" t="s">
        <v>50</v>
      </c>
      <c r="AA113" t="s">
        <v>51</v>
      </c>
      <c r="AD113" t="s">
        <v>373</v>
      </c>
      <c r="AE113" t="s">
        <v>44</v>
      </c>
      <c r="AG113" s="2">
        <v>45642</v>
      </c>
      <c r="AJ113" s="2">
        <v>45607</v>
      </c>
      <c r="AK113" s="4">
        <v>45609</v>
      </c>
      <c r="AL113" t="s">
        <v>374</v>
      </c>
      <c r="AM113" t="s">
        <v>163</v>
      </c>
      <c r="AN113">
        <v>2</v>
      </c>
      <c r="AO113">
        <v>68</v>
      </c>
      <c r="AQ113">
        <f t="shared" si="2"/>
        <v>68</v>
      </c>
      <c r="AR113">
        <f t="shared" si="3"/>
        <v>2024</v>
      </c>
    </row>
    <row r="114" spans="2:44" x14ac:dyDescent="0.25">
      <c r="B114" t="s">
        <v>370</v>
      </c>
      <c r="C114" t="s">
        <v>43</v>
      </c>
      <c r="E114" t="s">
        <v>375</v>
      </c>
      <c r="F114" t="s">
        <v>45</v>
      </c>
      <c r="G114" t="s">
        <v>376</v>
      </c>
      <c r="H114" t="s">
        <v>355</v>
      </c>
      <c r="K114" t="s">
        <v>44</v>
      </c>
      <c r="L114" t="s">
        <v>59</v>
      </c>
      <c r="M114" t="s">
        <v>372</v>
      </c>
      <c r="N114" s="4">
        <v>45574</v>
      </c>
      <c r="U114" t="s">
        <v>50</v>
      </c>
      <c r="AA114" t="s">
        <v>51</v>
      </c>
      <c r="AD114" t="s">
        <v>377</v>
      </c>
      <c r="AE114" t="s">
        <v>44</v>
      </c>
      <c r="AG114" s="2">
        <v>45642</v>
      </c>
      <c r="AJ114" s="2">
        <v>45607</v>
      </c>
      <c r="AK114" s="4">
        <v>45610</v>
      </c>
      <c r="AL114" t="s">
        <v>374</v>
      </c>
      <c r="AM114" t="s">
        <v>163</v>
      </c>
      <c r="AN114">
        <v>3</v>
      </c>
      <c r="AO114">
        <v>68</v>
      </c>
      <c r="AQ114">
        <f t="shared" si="2"/>
        <v>68</v>
      </c>
      <c r="AR114">
        <f t="shared" si="3"/>
        <v>2024</v>
      </c>
    </row>
    <row r="115" spans="2:44" x14ac:dyDescent="0.25">
      <c r="B115" t="s">
        <v>378</v>
      </c>
      <c r="C115" t="s">
        <v>139</v>
      </c>
      <c r="E115" t="s">
        <v>44</v>
      </c>
      <c r="F115" t="s">
        <v>45</v>
      </c>
      <c r="G115" t="s">
        <v>131</v>
      </c>
      <c r="H115" t="s">
        <v>355</v>
      </c>
      <c r="K115" t="s">
        <v>44</v>
      </c>
      <c r="L115" t="s">
        <v>59</v>
      </c>
      <c r="M115" t="s">
        <v>379</v>
      </c>
      <c r="N115" s="4">
        <v>45597</v>
      </c>
      <c r="U115" t="s">
        <v>50</v>
      </c>
      <c r="AA115" t="s">
        <v>255</v>
      </c>
      <c r="AD115" t="s">
        <v>380</v>
      </c>
      <c r="AE115" t="s">
        <v>44</v>
      </c>
      <c r="AG115" s="2">
        <v>45632</v>
      </c>
      <c r="AJ115" s="2">
        <v>45597</v>
      </c>
      <c r="AK115" s="4">
        <v>45614</v>
      </c>
      <c r="AL115" t="s">
        <v>381</v>
      </c>
      <c r="AM115" t="s">
        <v>163</v>
      </c>
      <c r="AN115">
        <v>17</v>
      </c>
      <c r="AO115">
        <v>35</v>
      </c>
      <c r="AQ115">
        <f t="shared" si="2"/>
        <v>35</v>
      </c>
      <c r="AR115">
        <f t="shared" si="3"/>
        <v>2024</v>
      </c>
    </row>
    <row r="116" spans="2:44" x14ac:dyDescent="0.25">
      <c r="B116" t="s">
        <v>228</v>
      </c>
      <c r="C116" t="s">
        <v>43</v>
      </c>
      <c r="E116" t="s">
        <v>44</v>
      </c>
      <c r="F116" t="s">
        <v>158</v>
      </c>
      <c r="G116" t="s">
        <v>131</v>
      </c>
      <c r="H116" t="s">
        <v>355</v>
      </c>
      <c r="K116" t="s">
        <v>44</v>
      </c>
      <c r="L116" t="s">
        <v>59</v>
      </c>
      <c r="M116" t="s">
        <v>382</v>
      </c>
      <c r="N116" s="4">
        <v>45538</v>
      </c>
      <c r="U116" t="s">
        <v>50</v>
      </c>
      <c r="AA116" t="s">
        <v>255</v>
      </c>
      <c r="AD116" t="s">
        <v>383</v>
      </c>
      <c r="AE116" t="s">
        <v>44</v>
      </c>
      <c r="AG116" s="2">
        <v>45614</v>
      </c>
      <c r="AJ116" s="2">
        <v>45538</v>
      </c>
      <c r="AK116" s="4">
        <v>45575</v>
      </c>
      <c r="AL116" t="s">
        <v>162</v>
      </c>
      <c r="AM116" t="s">
        <v>163</v>
      </c>
      <c r="AN116">
        <v>37</v>
      </c>
      <c r="AO116">
        <v>76</v>
      </c>
      <c r="AQ116">
        <f t="shared" si="2"/>
        <v>76</v>
      </c>
      <c r="AR116">
        <f t="shared" si="3"/>
        <v>2024</v>
      </c>
    </row>
    <row r="117" spans="2:44" x14ac:dyDescent="0.25">
      <c r="B117" t="s">
        <v>64</v>
      </c>
      <c r="C117" t="s">
        <v>43</v>
      </c>
      <c r="E117" t="s">
        <v>44</v>
      </c>
      <c r="F117" t="s">
        <v>45</v>
      </c>
      <c r="G117" t="s">
        <v>131</v>
      </c>
      <c r="H117" t="s">
        <v>350</v>
      </c>
      <c r="K117" t="s">
        <v>44</v>
      </c>
      <c r="L117" t="s">
        <v>59</v>
      </c>
      <c r="M117" t="s">
        <v>356</v>
      </c>
      <c r="N117" s="4">
        <v>45512</v>
      </c>
      <c r="U117" t="s">
        <v>50</v>
      </c>
      <c r="AA117" t="s">
        <v>51</v>
      </c>
      <c r="AD117" t="s">
        <v>384</v>
      </c>
      <c r="AE117" t="s">
        <v>44</v>
      </c>
      <c r="AG117" s="2">
        <v>45608</v>
      </c>
      <c r="AJ117" s="2">
        <v>45597</v>
      </c>
      <c r="AK117" s="4">
        <v>45607</v>
      </c>
      <c r="AL117" t="s">
        <v>162</v>
      </c>
      <c r="AM117" t="s">
        <v>163</v>
      </c>
      <c r="AN117">
        <v>10</v>
      </c>
      <c r="AO117">
        <v>96</v>
      </c>
      <c r="AQ117">
        <f t="shared" si="2"/>
        <v>96</v>
      </c>
      <c r="AR117">
        <f t="shared" si="3"/>
        <v>2024</v>
      </c>
    </row>
    <row r="118" spans="2:44" x14ac:dyDescent="0.25">
      <c r="B118" t="s">
        <v>385</v>
      </c>
      <c r="C118" t="s">
        <v>43</v>
      </c>
      <c r="E118" t="s">
        <v>44</v>
      </c>
      <c r="F118" t="s">
        <v>45</v>
      </c>
      <c r="G118" t="s">
        <v>131</v>
      </c>
      <c r="H118" t="s">
        <v>355</v>
      </c>
      <c r="K118" t="s">
        <v>44</v>
      </c>
      <c r="L118" t="s">
        <v>59</v>
      </c>
      <c r="M118" t="s">
        <v>356</v>
      </c>
      <c r="N118" s="4">
        <v>45588</v>
      </c>
      <c r="U118" t="s">
        <v>50</v>
      </c>
      <c r="AA118" t="s">
        <v>255</v>
      </c>
      <c r="AD118" t="s">
        <v>386</v>
      </c>
      <c r="AE118" t="s">
        <v>44</v>
      </c>
      <c r="AG118" s="2">
        <v>45602</v>
      </c>
      <c r="AJ118" s="2">
        <v>45589</v>
      </c>
      <c r="AK118" s="4">
        <v>45590</v>
      </c>
      <c r="AL118" t="s">
        <v>73</v>
      </c>
      <c r="AM118" t="s">
        <v>163</v>
      </c>
      <c r="AN118">
        <v>1</v>
      </c>
      <c r="AO118">
        <v>14</v>
      </c>
      <c r="AQ118">
        <f t="shared" si="2"/>
        <v>14</v>
      </c>
      <c r="AR118">
        <f t="shared" si="3"/>
        <v>2024</v>
      </c>
    </row>
    <row r="119" spans="2:44" x14ac:dyDescent="0.25">
      <c r="B119" t="s">
        <v>267</v>
      </c>
      <c r="C119" t="s">
        <v>43</v>
      </c>
      <c r="E119" t="s">
        <v>153</v>
      </c>
      <c r="F119" t="s">
        <v>45</v>
      </c>
      <c r="G119" t="s">
        <v>131</v>
      </c>
      <c r="H119" t="s">
        <v>355</v>
      </c>
      <c r="K119" t="s">
        <v>199</v>
      </c>
      <c r="L119" t="s">
        <v>59</v>
      </c>
      <c r="M119" t="s">
        <v>356</v>
      </c>
      <c r="N119" s="4">
        <v>45538</v>
      </c>
      <c r="U119" t="s">
        <v>50</v>
      </c>
      <c r="AA119" t="s">
        <v>51</v>
      </c>
      <c r="AD119" t="s">
        <v>387</v>
      </c>
      <c r="AE119" t="s">
        <v>199</v>
      </c>
      <c r="AG119" s="2">
        <v>45599</v>
      </c>
      <c r="AJ119" s="2">
        <v>45551</v>
      </c>
      <c r="AK119" s="4">
        <v>45566</v>
      </c>
      <c r="AL119" t="s">
        <v>62</v>
      </c>
      <c r="AM119" t="s">
        <v>163</v>
      </c>
      <c r="AN119">
        <v>15</v>
      </c>
      <c r="AO119">
        <v>61</v>
      </c>
      <c r="AQ119">
        <f t="shared" si="2"/>
        <v>61</v>
      </c>
      <c r="AR119">
        <f t="shared" si="3"/>
        <v>2024</v>
      </c>
    </row>
    <row r="120" spans="2:44" x14ac:dyDescent="0.25">
      <c r="B120" t="s">
        <v>263</v>
      </c>
      <c r="C120" t="s">
        <v>43</v>
      </c>
      <c r="E120" t="s">
        <v>44</v>
      </c>
      <c r="F120" t="s">
        <v>45</v>
      </c>
      <c r="G120" t="s">
        <v>131</v>
      </c>
      <c r="H120" t="s">
        <v>355</v>
      </c>
      <c r="K120" t="s">
        <v>44</v>
      </c>
      <c r="L120" t="s">
        <v>59</v>
      </c>
      <c r="M120" t="s">
        <v>356</v>
      </c>
      <c r="N120" s="4">
        <v>45566</v>
      </c>
      <c r="U120" t="s">
        <v>50</v>
      </c>
      <c r="AA120" t="s">
        <v>51</v>
      </c>
      <c r="AD120" t="s">
        <v>388</v>
      </c>
      <c r="AE120" t="s">
        <v>44</v>
      </c>
      <c r="AG120" s="2">
        <v>45597</v>
      </c>
      <c r="AJ120" s="2">
        <v>45566</v>
      </c>
      <c r="AK120" s="4">
        <v>45572</v>
      </c>
      <c r="AL120" t="s">
        <v>389</v>
      </c>
      <c r="AM120" t="s">
        <v>163</v>
      </c>
      <c r="AN120">
        <v>6</v>
      </c>
      <c r="AO120">
        <v>31</v>
      </c>
      <c r="AQ120">
        <f t="shared" si="2"/>
        <v>31</v>
      </c>
      <c r="AR120">
        <f t="shared" si="3"/>
        <v>2024</v>
      </c>
    </row>
    <row r="121" spans="2:44" x14ac:dyDescent="0.25">
      <c r="B121" t="s">
        <v>390</v>
      </c>
      <c r="C121" t="s">
        <v>43</v>
      </c>
      <c r="E121" t="s">
        <v>44</v>
      </c>
      <c r="F121" t="s">
        <v>45</v>
      </c>
      <c r="G121" t="s">
        <v>131</v>
      </c>
      <c r="H121" t="s">
        <v>355</v>
      </c>
      <c r="K121" t="s">
        <v>44</v>
      </c>
      <c r="L121" t="s">
        <v>59</v>
      </c>
      <c r="M121" t="s">
        <v>356</v>
      </c>
      <c r="N121" s="4">
        <v>45569</v>
      </c>
      <c r="U121" t="s">
        <v>50</v>
      </c>
      <c r="AA121" t="s">
        <v>255</v>
      </c>
      <c r="AD121" t="s">
        <v>391</v>
      </c>
      <c r="AE121" t="s">
        <v>44</v>
      </c>
      <c r="AG121" s="2">
        <v>45597</v>
      </c>
      <c r="AJ121" s="2">
        <v>45569</v>
      </c>
      <c r="AK121" s="4">
        <v>45573</v>
      </c>
      <c r="AL121" t="s">
        <v>73</v>
      </c>
      <c r="AM121" t="s">
        <v>163</v>
      </c>
      <c r="AN121">
        <v>4</v>
      </c>
      <c r="AO121">
        <v>28</v>
      </c>
      <c r="AQ121">
        <f t="shared" si="2"/>
        <v>28</v>
      </c>
      <c r="AR121">
        <f t="shared" si="3"/>
        <v>2024</v>
      </c>
    </row>
    <row r="122" spans="2:44" x14ac:dyDescent="0.25">
      <c r="B122" t="s">
        <v>392</v>
      </c>
      <c r="C122" t="s">
        <v>128</v>
      </c>
      <c r="E122" t="s">
        <v>393</v>
      </c>
      <c r="F122" t="s">
        <v>158</v>
      </c>
      <c r="G122" t="s">
        <v>131</v>
      </c>
      <c r="H122" t="s">
        <v>47</v>
      </c>
      <c r="I122" t="s">
        <v>394</v>
      </c>
      <c r="K122" t="s">
        <v>199</v>
      </c>
      <c r="L122" t="s">
        <v>59</v>
      </c>
      <c r="M122" t="s">
        <v>58</v>
      </c>
      <c r="N122" s="4">
        <v>45548</v>
      </c>
      <c r="U122" t="s">
        <v>50</v>
      </c>
      <c r="AA122" t="s">
        <v>51</v>
      </c>
      <c r="AD122" t="s">
        <v>321</v>
      </c>
      <c r="AE122" t="s">
        <v>199</v>
      </c>
      <c r="AG122" s="2">
        <v>45596</v>
      </c>
      <c r="AJ122" s="2">
        <v>45548</v>
      </c>
      <c r="AK122" s="4">
        <v>45555</v>
      </c>
      <c r="AL122" t="s">
        <v>62</v>
      </c>
      <c r="AM122" t="s">
        <v>163</v>
      </c>
      <c r="AN122">
        <v>7</v>
      </c>
      <c r="AO122">
        <v>48</v>
      </c>
      <c r="AQ122">
        <f t="shared" si="2"/>
        <v>48</v>
      </c>
      <c r="AR122">
        <f t="shared" si="3"/>
        <v>2024</v>
      </c>
    </row>
    <row r="123" spans="2:44" x14ac:dyDescent="0.25">
      <c r="B123" t="s">
        <v>395</v>
      </c>
      <c r="C123" t="s">
        <v>43</v>
      </c>
      <c r="E123" t="s">
        <v>100</v>
      </c>
      <c r="F123" t="s">
        <v>158</v>
      </c>
      <c r="G123" t="s">
        <v>131</v>
      </c>
      <c r="H123" t="s">
        <v>355</v>
      </c>
      <c r="K123" t="s">
        <v>44</v>
      </c>
      <c r="L123" t="s">
        <v>59</v>
      </c>
      <c r="M123" t="s">
        <v>356</v>
      </c>
      <c r="N123" s="4">
        <v>45586</v>
      </c>
      <c r="U123" t="s">
        <v>50</v>
      </c>
      <c r="AA123" t="s">
        <v>362</v>
      </c>
      <c r="AD123" t="s">
        <v>396</v>
      </c>
      <c r="AE123" t="s">
        <v>44</v>
      </c>
      <c r="AG123" s="2">
        <v>45593</v>
      </c>
      <c r="AJ123" s="2">
        <v>45586</v>
      </c>
      <c r="AK123" s="4">
        <v>45587</v>
      </c>
      <c r="AL123" t="s">
        <v>162</v>
      </c>
      <c r="AM123" t="s">
        <v>163</v>
      </c>
      <c r="AN123">
        <v>1</v>
      </c>
      <c r="AO123">
        <v>7</v>
      </c>
      <c r="AQ123">
        <f t="shared" si="2"/>
        <v>7</v>
      </c>
      <c r="AR123">
        <f t="shared" si="3"/>
        <v>2024</v>
      </c>
    </row>
    <row r="124" spans="2:44" x14ac:dyDescent="0.25">
      <c r="B124" t="s">
        <v>397</v>
      </c>
      <c r="C124" t="s">
        <v>43</v>
      </c>
      <c r="E124" t="s">
        <v>44</v>
      </c>
      <c r="F124" t="s">
        <v>158</v>
      </c>
      <c r="G124" t="s">
        <v>131</v>
      </c>
      <c r="H124" t="s">
        <v>355</v>
      </c>
      <c r="K124" t="s">
        <v>44</v>
      </c>
      <c r="L124" t="s">
        <v>59</v>
      </c>
      <c r="M124" t="s">
        <v>356</v>
      </c>
      <c r="N124" s="4">
        <v>45566</v>
      </c>
      <c r="U124" t="s">
        <v>50</v>
      </c>
      <c r="AA124" t="s">
        <v>362</v>
      </c>
      <c r="AD124" t="s">
        <v>398</v>
      </c>
      <c r="AE124" t="s">
        <v>44</v>
      </c>
      <c r="AG124" s="2">
        <v>45579</v>
      </c>
      <c r="AJ124" s="2">
        <v>45566</v>
      </c>
      <c r="AK124" s="4">
        <v>45575</v>
      </c>
      <c r="AL124" t="s">
        <v>162</v>
      </c>
      <c r="AM124" t="s">
        <v>163</v>
      </c>
      <c r="AN124">
        <v>9</v>
      </c>
      <c r="AO124">
        <v>13</v>
      </c>
      <c r="AQ124">
        <f t="shared" si="2"/>
        <v>13</v>
      </c>
      <c r="AR124">
        <f t="shared" si="3"/>
        <v>2024</v>
      </c>
    </row>
    <row r="125" spans="2:44" x14ac:dyDescent="0.25">
      <c r="B125" t="s">
        <v>399</v>
      </c>
      <c r="C125" t="s">
        <v>43</v>
      </c>
      <c r="E125" t="s">
        <v>44</v>
      </c>
      <c r="F125" t="s">
        <v>45</v>
      </c>
      <c r="G125" t="s">
        <v>131</v>
      </c>
      <c r="H125" t="s">
        <v>47</v>
      </c>
      <c r="I125" t="s">
        <v>400</v>
      </c>
      <c r="K125" t="s">
        <v>44</v>
      </c>
      <c r="L125" t="s">
        <v>59</v>
      </c>
      <c r="M125" t="s">
        <v>356</v>
      </c>
      <c r="N125" s="4">
        <v>45566</v>
      </c>
      <c r="U125" t="s">
        <v>50</v>
      </c>
      <c r="AA125" t="s">
        <v>255</v>
      </c>
      <c r="AD125" t="s">
        <v>401</v>
      </c>
      <c r="AE125" t="s">
        <v>44</v>
      </c>
      <c r="AG125" s="2">
        <v>45593</v>
      </c>
      <c r="AJ125" s="2">
        <v>45566</v>
      </c>
      <c r="AK125" s="4">
        <v>45575</v>
      </c>
      <c r="AL125" t="s">
        <v>162</v>
      </c>
      <c r="AM125" t="s">
        <v>163</v>
      </c>
      <c r="AN125">
        <v>9</v>
      </c>
      <c r="AO125">
        <v>27</v>
      </c>
      <c r="AQ125">
        <f t="shared" si="2"/>
        <v>27</v>
      </c>
      <c r="AR125">
        <f t="shared" si="3"/>
        <v>2024</v>
      </c>
    </row>
    <row r="126" spans="2:44" x14ac:dyDescent="0.25">
      <c r="B126" t="s">
        <v>402</v>
      </c>
      <c r="C126" t="s">
        <v>403</v>
      </c>
      <c r="E126" t="s">
        <v>100</v>
      </c>
      <c r="F126" t="s">
        <v>45</v>
      </c>
      <c r="G126" t="s">
        <v>131</v>
      </c>
      <c r="K126" t="s">
        <v>44</v>
      </c>
      <c r="L126" t="s">
        <v>144</v>
      </c>
      <c r="M126" t="s">
        <v>404</v>
      </c>
      <c r="N126" s="4">
        <v>45659</v>
      </c>
      <c r="U126" t="s">
        <v>50</v>
      </c>
      <c r="AA126" t="s">
        <v>255</v>
      </c>
      <c r="AD126" t="s">
        <v>405</v>
      </c>
      <c r="AE126" t="s">
        <v>44</v>
      </c>
      <c r="AG126" s="2">
        <v>45671</v>
      </c>
      <c r="AJ126" s="2">
        <v>45663</v>
      </c>
      <c r="AK126" s="4">
        <v>45659</v>
      </c>
      <c r="AL126" t="s">
        <v>231</v>
      </c>
      <c r="AM126" t="s">
        <v>270</v>
      </c>
      <c r="AN126">
        <v>-4</v>
      </c>
      <c r="AO126">
        <v>12</v>
      </c>
      <c r="AQ126">
        <f t="shared" si="2"/>
        <v>12</v>
      </c>
      <c r="AR126">
        <f t="shared" si="3"/>
        <v>2025</v>
      </c>
    </row>
    <row r="127" spans="2:44" x14ac:dyDescent="0.25">
      <c r="B127" t="s">
        <v>406</v>
      </c>
      <c r="E127" t="s">
        <v>100</v>
      </c>
      <c r="F127" t="s">
        <v>45</v>
      </c>
      <c r="G127" t="s">
        <v>131</v>
      </c>
      <c r="K127" t="s">
        <v>44</v>
      </c>
      <c r="L127" t="s">
        <v>144</v>
      </c>
      <c r="M127" t="s">
        <v>404</v>
      </c>
      <c r="N127" s="4">
        <v>45635</v>
      </c>
      <c r="U127" t="s">
        <v>50</v>
      </c>
      <c r="AA127" t="s">
        <v>255</v>
      </c>
      <c r="AD127" t="s">
        <v>407</v>
      </c>
      <c r="AE127" t="s">
        <v>44</v>
      </c>
      <c r="AG127" s="2">
        <v>45636</v>
      </c>
      <c r="AJ127" s="2">
        <v>45635</v>
      </c>
      <c r="AK127" s="4">
        <v>45635</v>
      </c>
      <c r="AL127" t="s">
        <v>231</v>
      </c>
      <c r="AM127" t="s">
        <v>270</v>
      </c>
      <c r="AN127">
        <v>0</v>
      </c>
      <c r="AO127">
        <v>1</v>
      </c>
      <c r="AQ127">
        <f t="shared" si="2"/>
        <v>1</v>
      </c>
      <c r="AR127">
        <f t="shared" si="3"/>
        <v>2024</v>
      </c>
    </row>
    <row r="128" spans="2:44" x14ac:dyDescent="0.25">
      <c r="B128" t="s">
        <v>406</v>
      </c>
      <c r="E128" t="s">
        <v>100</v>
      </c>
      <c r="F128" t="s">
        <v>45</v>
      </c>
      <c r="G128" t="s">
        <v>131</v>
      </c>
      <c r="K128" t="s">
        <v>44</v>
      </c>
      <c r="L128" t="s">
        <v>144</v>
      </c>
      <c r="M128" t="s">
        <v>404</v>
      </c>
      <c r="N128" s="4">
        <v>45628</v>
      </c>
      <c r="U128" t="s">
        <v>50</v>
      </c>
      <c r="AA128" t="s">
        <v>255</v>
      </c>
      <c r="AD128" t="s">
        <v>408</v>
      </c>
      <c r="AE128" t="s">
        <v>44</v>
      </c>
      <c r="AG128" s="2">
        <v>45631</v>
      </c>
      <c r="AJ128" s="2">
        <v>45629</v>
      </c>
      <c r="AK128" s="4">
        <v>45629</v>
      </c>
      <c r="AL128" t="s">
        <v>231</v>
      </c>
      <c r="AM128" t="s">
        <v>270</v>
      </c>
      <c r="AN128">
        <v>0</v>
      </c>
      <c r="AO128">
        <v>3</v>
      </c>
      <c r="AQ128">
        <f t="shared" si="2"/>
        <v>3</v>
      </c>
      <c r="AR128">
        <f t="shared" si="3"/>
        <v>2024</v>
      </c>
    </row>
    <row r="129" spans="2:44" x14ac:dyDescent="0.25">
      <c r="B129" t="s">
        <v>251</v>
      </c>
      <c r="C129" t="s">
        <v>43</v>
      </c>
      <c r="E129" t="s">
        <v>100</v>
      </c>
      <c r="F129" t="s">
        <v>45</v>
      </c>
      <c r="G129" t="s">
        <v>131</v>
      </c>
      <c r="K129" t="s">
        <v>44</v>
      </c>
      <c r="L129" t="s">
        <v>144</v>
      </c>
      <c r="M129" t="s">
        <v>404</v>
      </c>
      <c r="N129" s="4">
        <v>45643</v>
      </c>
      <c r="U129" t="s">
        <v>50</v>
      </c>
      <c r="AA129" t="s">
        <v>255</v>
      </c>
      <c r="AD129" t="s">
        <v>409</v>
      </c>
      <c r="AE129" t="s">
        <v>44</v>
      </c>
      <c r="AG129" s="2">
        <v>45649</v>
      </c>
      <c r="AJ129" s="2">
        <v>45643</v>
      </c>
      <c r="AK129" s="4">
        <v>45672</v>
      </c>
      <c r="AL129" t="s">
        <v>231</v>
      </c>
      <c r="AM129" t="s">
        <v>270</v>
      </c>
      <c r="AN129">
        <v>29</v>
      </c>
      <c r="AO129">
        <v>6</v>
      </c>
      <c r="AQ129">
        <f t="shared" si="2"/>
        <v>6</v>
      </c>
      <c r="AR129">
        <f t="shared" si="3"/>
        <v>2024</v>
      </c>
    </row>
    <row r="130" spans="2:44" x14ac:dyDescent="0.25">
      <c r="B130" t="s">
        <v>241</v>
      </c>
      <c r="C130" t="s">
        <v>43</v>
      </c>
      <c r="E130" t="s">
        <v>100</v>
      </c>
      <c r="F130" t="s">
        <v>45</v>
      </c>
      <c r="G130" t="s">
        <v>131</v>
      </c>
      <c r="K130" t="s">
        <v>44</v>
      </c>
      <c r="L130" t="s">
        <v>144</v>
      </c>
      <c r="M130" t="s">
        <v>404</v>
      </c>
      <c r="N130" s="4">
        <v>45631</v>
      </c>
      <c r="U130" t="s">
        <v>50</v>
      </c>
      <c r="AA130" t="s">
        <v>255</v>
      </c>
      <c r="AD130" t="s">
        <v>410</v>
      </c>
      <c r="AE130" t="s">
        <v>44</v>
      </c>
      <c r="AG130" s="2">
        <v>45637</v>
      </c>
      <c r="AJ130" s="2">
        <v>45631</v>
      </c>
      <c r="AK130" s="4">
        <v>45632</v>
      </c>
      <c r="AL130" t="s">
        <v>231</v>
      </c>
      <c r="AM130" t="s">
        <v>270</v>
      </c>
      <c r="AN130">
        <v>1</v>
      </c>
      <c r="AO130">
        <v>6</v>
      </c>
      <c r="AQ130">
        <f t="shared" si="2"/>
        <v>6</v>
      </c>
      <c r="AR130">
        <f t="shared" si="3"/>
        <v>2024</v>
      </c>
    </row>
    <row r="131" spans="2:44" x14ac:dyDescent="0.25">
      <c r="B131" t="s">
        <v>241</v>
      </c>
      <c r="C131" t="s">
        <v>43</v>
      </c>
      <c r="E131" t="s">
        <v>393</v>
      </c>
      <c r="F131" t="s">
        <v>45</v>
      </c>
      <c r="G131" t="s">
        <v>131</v>
      </c>
      <c r="L131" t="s">
        <v>144</v>
      </c>
      <c r="M131" t="s">
        <v>404</v>
      </c>
      <c r="U131" t="s">
        <v>50</v>
      </c>
      <c r="AA131" t="s">
        <v>255</v>
      </c>
      <c r="AD131" t="s">
        <v>411</v>
      </c>
      <c r="AE131" t="s">
        <v>153</v>
      </c>
      <c r="AG131" s="2">
        <v>45658</v>
      </c>
      <c r="AK131" s="4">
        <v>45629</v>
      </c>
      <c r="AL131" t="s">
        <v>412</v>
      </c>
      <c r="AM131" t="s">
        <v>270</v>
      </c>
      <c r="AN131">
        <v>45629</v>
      </c>
      <c r="AO131">
        <v>45658</v>
      </c>
      <c r="AQ131" t="str">
        <f t="shared" ref="AQ131:AQ194" si="4">IF(AND(AO131&gt;=0,AO131&lt;=300),AO131,"")</f>
        <v/>
      </c>
      <c r="AR131">
        <f t="shared" ref="AR131:AR194" si="5">YEAR(N131)</f>
        <v>1900</v>
      </c>
    </row>
    <row r="132" spans="2:44" x14ac:dyDescent="0.25">
      <c r="B132" t="s">
        <v>413</v>
      </c>
      <c r="C132" t="s">
        <v>43</v>
      </c>
      <c r="E132" t="s">
        <v>100</v>
      </c>
      <c r="F132" t="s">
        <v>45</v>
      </c>
      <c r="G132" t="s">
        <v>131</v>
      </c>
      <c r="H132" t="s">
        <v>56</v>
      </c>
      <c r="K132" t="s">
        <v>44</v>
      </c>
      <c r="L132" t="s">
        <v>414</v>
      </c>
      <c r="M132" t="s">
        <v>415</v>
      </c>
      <c r="N132" s="4">
        <v>45616</v>
      </c>
      <c r="U132" t="s">
        <v>50</v>
      </c>
      <c r="AA132" t="s">
        <v>255</v>
      </c>
      <c r="AD132" t="s">
        <v>416</v>
      </c>
      <c r="AE132" t="s">
        <v>44</v>
      </c>
      <c r="AG132" s="2">
        <v>45618</v>
      </c>
      <c r="AJ132" s="2">
        <v>45616</v>
      </c>
      <c r="AK132" s="4">
        <v>45617</v>
      </c>
      <c r="AL132" t="s">
        <v>417</v>
      </c>
      <c r="AM132" t="s">
        <v>418</v>
      </c>
      <c r="AN132">
        <v>1</v>
      </c>
      <c r="AO132">
        <v>2</v>
      </c>
      <c r="AQ132">
        <f t="shared" si="4"/>
        <v>2</v>
      </c>
      <c r="AR132">
        <f t="shared" si="5"/>
        <v>2024</v>
      </c>
    </row>
    <row r="133" spans="2:44" x14ac:dyDescent="0.25">
      <c r="B133" t="s">
        <v>323</v>
      </c>
      <c r="C133" t="s">
        <v>43</v>
      </c>
      <c r="E133" t="s">
        <v>100</v>
      </c>
      <c r="F133" t="s">
        <v>45</v>
      </c>
      <c r="G133" t="s">
        <v>131</v>
      </c>
      <c r="K133" t="s">
        <v>44</v>
      </c>
      <c r="L133" t="s">
        <v>144</v>
      </c>
      <c r="M133" t="s">
        <v>404</v>
      </c>
      <c r="N133" s="4">
        <v>45546</v>
      </c>
      <c r="U133" t="s">
        <v>50</v>
      </c>
      <c r="AA133" t="s">
        <v>255</v>
      </c>
      <c r="AD133" t="s">
        <v>419</v>
      </c>
      <c r="AE133" t="s">
        <v>44</v>
      </c>
      <c r="AG133" s="2">
        <v>45566</v>
      </c>
      <c r="AJ133" s="2">
        <v>45546</v>
      </c>
      <c r="AK133" s="4">
        <v>45568</v>
      </c>
      <c r="AL133" t="s">
        <v>231</v>
      </c>
      <c r="AM133" t="s">
        <v>270</v>
      </c>
      <c r="AN133">
        <v>22</v>
      </c>
      <c r="AO133">
        <v>20</v>
      </c>
      <c r="AQ133">
        <f t="shared" si="4"/>
        <v>20</v>
      </c>
      <c r="AR133">
        <f t="shared" si="5"/>
        <v>2024</v>
      </c>
    </row>
    <row r="134" spans="2:44" x14ac:dyDescent="0.25">
      <c r="B134" t="s">
        <v>273</v>
      </c>
      <c r="C134" t="s">
        <v>43</v>
      </c>
      <c r="E134" t="s">
        <v>100</v>
      </c>
      <c r="F134" t="s">
        <v>45</v>
      </c>
      <c r="G134" t="s">
        <v>131</v>
      </c>
      <c r="K134" t="s">
        <v>44</v>
      </c>
      <c r="L134" t="s">
        <v>144</v>
      </c>
      <c r="M134" t="s">
        <v>404</v>
      </c>
      <c r="N134" s="4">
        <v>45546</v>
      </c>
      <c r="U134" t="s">
        <v>50</v>
      </c>
      <c r="AA134" t="s">
        <v>255</v>
      </c>
      <c r="AD134" t="s">
        <v>420</v>
      </c>
      <c r="AE134" t="s">
        <v>44</v>
      </c>
      <c r="AG134" s="2">
        <v>45566</v>
      </c>
      <c r="AJ134" s="2">
        <v>45546</v>
      </c>
      <c r="AK134" s="4">
        <v>45568</v>
      </c>
      <c r="AL134" t="s">
        <v>231</v>
      </c>
      <c r="AM134" t="s">
        <v>270</v>
      </c>
      <c r="AN134">
        <v>22</v>
      </c>
      <c r="AO134">
        <v>20</v>
      </c>
      <c r="AQ134">
        <f t="shared" si="4"/>
        <v>20</v>
      </c>
      <c r="AR134">
        <f t="shared" si="5"/>
        <v>2024</v>
      </c>
    </row>
    <row r="135" spans="2:44" x14ac:dyDescent="0.25">
      <c r="B135" t="s">
        <v>421</v>
      </c>
      <c r="C135" t="s">
        <v>43</v>
      </c>
      <c r="E135" t="s">
        <v>100</v>
      </c>
      <c r="F135" t="s">
        <v>45</v>
      </c>
      <c r="G135" t="s">
        <v>131</v>
      </c>
      <c r="K135" t="s">
        <v>44</v>
      </c>
      <c r="L135" t="s">
        <v>144</v>
      </c>
      <c r="M135" t="s">
        <v>404</v>
      </c>
      <c r="N135" s="4">
        <v>45566</v>
      </c>
      <c r="U135" t="s">
        <v>50</v>
      </c>
      <c r="AA135" t="s">
        <v>255</v>
      </c>
      <c r="AD135" t="s">
        <v>422</v>
      </c>
      <c r="AE135" t="s">
        <v>44</v>
      </c>
      <c r="AG135" s="2">
        <v>45572</v>
      </c>
      <c r="AJ135" s="2">
        <v>45566</v>
      </c>
      <c r="AK135" s="4">
        <v>45569</v>
      </c>
      <c r="AL135" t="s">
        <v>231</v>
      </c>
      <c r="AM135" t="s">
        <v>270</v>
      </c>
      <c r="AN135">
        <v>3</v>
      </c>
      <c r="AO135">
        <v>6</v>
      </c>
      <c r="AQ135">
        <f t="shared" si="4"/>
        <v>6</v>
      </c>
      <c r="AR135">
        <f t="shared" si="5"/>
        <v>2024</v>
      </c>
    </row>
    <row r="136" spans="2:44" x14ac:dyDescent="0.25">
      <c r="B136" t="s">
        <v>273</v>
      </c>
      <c r="C136" t="s">
        <v>43</v>
      </c>
      <c r="E136" t="s">
        <v>100</v>
      </c>
      <c r="F136" t="s">
        <v>45</v>
      </c>
      <c r="G136" t="s">
        <v>131</v>
      </c>
      <c r="K136" t="s">
        <v>44</v>
      </c>
      <c r="L136" t="s">
        <v>144</v>
      </c>
      <c r="M136" t="s">
        <v>404</v>
      </c>
      <c r="N136" s="4">
        <v>45558</v>
      </c>
      <c r="U136" t="s">
        <v>50</v>
      </c>
      <c r="AA136" t="s">
        <v>255</v>
      </c>
      <c r="AD136" t="s">
        <v>79</v>
      </c>
      <c r="AE136" t="s">
        <v>44</v>
      </c>
      <c r="AG136" s="2">
        <v>45566</v>
      </c>
      <c r="AJ136" s="2">
        <v>45558</v>
      </c>
      <c r="AK136" s="4">
        <v>45583</v>
      </c>
      <c r="AL136" t="s">
        <v>231</v>
      </c>
      <c r="AM136" t="s">
        <v>270</v>
      </c>
      <c r="AN136">
        <v>25</v>
      </c>
      <c r="AO136">
        <v>8</v>
      </c>
      <c r="AQ136">
        <f t="shared" si="4"/>
        <v>8</v>
      </c>
      <c r="AR136">
        <f t="shared" si="5"/>
        <v>2024</v>
      </c>
    </row>
    <row r="137" spans="2:44" x14ac:dyDescent="0.25">
      <c r="B137" t="s">
        <v>298</v>
      </c>
      <c r="C137" t="s">
        <v>43</v>
      </c>
      <c r="E137" t="s">
        <v>393</v>
      </c>
      <c r="F137" t="s">
        <v>45</v>
      </c>
      <c r="G137" t="s">
        <v>131</v>
      </c>
      <c r="H137" t="s">
        <v>47</v>
      </c>
      <c r="I137" t="s">
        <v>299</v>
      </c>
      <c r="K137" t="s">
        <v>199</v>
      </c>
      <c r="L137" t="s">
        <v>211</v>
      </c>
      <c r="M137" t="s">
        <v>423</v>
      </c>
      <c r="U137" t="s">
        <v>50</v>
      </c>
      <c r="AA137" t="s">
        <v>255</v>
      </c>
      <c r="AD137" t="s">
        <v>285</v>
      </c>
      <c r="AE137" t="s">
        <v>199</v>
      </c>
      <c r="AG137" s="2">
        <v>45670</v>
      </c>
      <c r="AK137" s="4">
        <v>45632</v>
      </c>
      <c r="AL137" t="s">
        <v>369</v>
      </c>
      <c r="AM137" t="s">
        <v>270</v>
      </c>
      <c r="AN137">
        <v>45632</v>
      </c>
      <c r="AO137">
        <v>45670</v>
      </c>
      <c r="AQ137" t="str">
        <f t="shared" si="4"/>
        <v/>
      </c>
      <c r="AR137">
        <f t="shared" si="5"/>
        <v>1900</v>
      </c>
    </row>
    <row r="138" spans="2:44" x14ac:dyDescent="0.25">
      <c r="B138" t="s">
        <v>228</v>
      </c>
      <c r="C138" t="s">
        <v>43</v>
      </c>
      <c r="E138" t="s">
        <v>100</v>
      </c>
      <c r="F138" t="s">
        <v>45</v>
      </c>
      <c r="G138" t="s">
        <v>131</v>
      </c>
      <c r="K138" t="s">
        <v>44</v>
      </c>
      <c r="L138" t="s">
        <v>144</v>
      </c>
      <c r="M138" t="s">
        <v>404</v>
      </c>
      <c r="N138" s="4">
        <v>45551</v>
      </c>
      <c r="U138" t="s">
        <v>50</v>
      </c>
      <c r="AA138" t="s">
        <v>255</v>
      </c>
      <c r="AD138" t="s">
        <v>424</v>
      </c>
      <c r="AE138" t="s">
        <v>44</v>
      </c>
      <c r="AG138" s="2">
        <v>45558</v>
      </c>
      <c r="AJ138" s="2">
        <v>45551</v>
      </c>
      <c r="AK138" s="4">
        <v>45553</v>
      </c>
      <c r="AL138" t="s">
        <v>231</v>
      </c>
      <c r="AM138" t="s">
        <v>270</v>
      </c>
      <c r="AN138">
        <v>2</v>
      </c>
      <c r="AO138">
        <v>7</v>
      </c>
      <c r="AQ138">
        <f t="shared" si="4"/>
        <v>7</v>
      </c>
      <c r="AR138">
        <f t="shared" si="5"/>
        <v>2024</v>
      </c>
    </row>
    <row r="139" spans="2:44" x14ac:dyDescent="0.25">
      <c r="B139" t="s">
        <v>228</v>
      </c>
      <c r="C139" t="s">
        <v>43</v>
      </c>
      <c r="E139" t="s">
        <v>100</v>
      </c>
      <c r="F139" t="s">
        <v>45</v>
      </c>
      <c r="G139" t="s">
        <v>131</v>
      </c>
      <c r="K139" t="s">
        <v>44</v>
      </c>
      <c r="L139" t="s">
        <v>144</v>
      </c>
      <c r="M139" t="s">
        <v>404</v>
      </c>
      <c r="N139" s="4">
        <v>45590</v>
      </c>
      <c r="U139" t="s">
        <v>50</v>
      </c>
      <c r="AA139" t="s">
        <v>255</v>
      </c>
      <c r="AD139" t="s">
        <v>425</v>
      </c>
      <c r="AE139" t="s">
        <v>44</v>
      </c>
      <c r="AG139" s="2">
        <v>45566</v>
      </c>
      <c r="AJ139" s="2">
        <v>45558</v>
      </c>
      <c r="AK139" s="4">
        <v>45560</v>
      </c>
      <c r="AL139" t="s">
        <v>231</v>
      </c>
      <c r="AM139" t="s">
        <v>270</v>
      </c>
      <c r="AN139">
        <v>2</v>
      </c>
      <c r="AO139">
        <v>-24</v>
      </c>
      <c r="AQ139" t="str">
        <f t="shared" si="4"/>
        <v/>
      </c>
      <c r="AR139">
        <f t="shared" si="5"/>
        <v>2024</v>
      </c>
    </row>
    <row r="140" spans="2:44" x14ac:dyDescent="0.25">
      <c r="B140" t="s">
        <v>228</v>
      </c>
      <c r="C140" t="s">
        <v>43</v>
      </c>
      <c r="E140" t="s">
        <v>100</v>
      </c>
      <c r="F140" t="s">
        <v>45</v>
      </c>
      <c r="G140" t="s">
        <v>131</v>
      </c>
      <c r="K140" t="s">
        <v>44</v>
      </c>
      <c r="L140" t="s">
        <v>144</v>
      </c>
      <c r="M140" t="s">
        <v>404</v>
      </c>
      <c r="N140" s="4">
        <v>45569</v>
      </c>
      <c r="U140" t="s">
        <v>50</v>
      </c>
      <c r="AA140" t="s">
        <v>255</v>
      </c>
      <c r="AD140" t="s">
        <v>426</v>
      </c>
      <c r="AE140" t="s">
        <v>44</v>
      </c>
      <c r="AG140" s="2">
        <v>45572</v>
      </c>
      <c r="AJ140" s="2">
        <v>45569</v>
      </c>
      <c r="AK140" s="4">
        <v>45569</v>
      </c>
      <c r="AL140" t="s">
        <v>231</v>
      </c>
      <c r="AM140" t="s">
        <v>270</v>
      </c>
      <c r="AN140">
        <v>0</v>
      </c>
      <c r="AO140">
        <v>3</v>
      </c>
      <c r="AQ140">
        <f t="shared" si="4"/>
        <v>3</v>
      </c>
      <c r="AR140">
        <f t="shared" si="5"/>
        <v>2024</v>
      </c>
    </row>
    <row r="141" spans="2:44" x14ac:dyDescent="0.25">
      <c r="B141" t="s">
        <v>228</v>
      </c>
      <c r="C141" t="s">
        <v>43</v>
      </c>
      <c r="E141" t="s">
        <v>100</v>
      </c>
      <c r="F141" t="s">
        <v>45</v>
      </c>
      <c r="G141" t="s">
        <v>131</v>
      </c>
      <c r="K141" t="s">
        <v>44</v>
      </c>
      <c r="L141" t="s">
        <v>144</v>
      </c>
      <c r="M141" t="s">
        <v>404</v>
      </c>
      <c r="N141" s="4">
        <v>45568</v>
      </c>
      <c r="U141" t="s">
        <v>50</v>
      </c>
      <c r="AA141" t="s">
        <v>255</v>
      </c>
      <c r="AD141" t="s">
        <v>427</v>
      </c>
      <c r="AE141" t="s">
        <v>44</v>
      </c>
      <c r="AG141" s="2">
        <v>45579</v>
      </c>
      <c r="AJ141" s="2">
        <v>45568</v>
      </c>
      <c r="AK141" s="4">
        <v>45568</v>
      </c>
      <c r="AL141" t="s">
        <v>231</v>
      </c>
      <c r="AM141" t="s">
        <v>270</v>
      </c>
      <c r="AN141">
        <v>0</v>
      </c>
      <c r="AO141">
        <v>11</v>
      </c>
      <c r="AQ141">
        <f t="shared" si="4"/>
        <v>11</v>
      </c>
      <c r="AR141">
        <f t="shared" si="5"/>
        <v>2024</v>
      </c>
    </row>
    <row r="142" spans="2:44" x14ac:dyDescent="0.25">
      <c r="B142" t="s">
        <v>228</v>
      </c>
      <c r="C142" t="s">
        <v>43</v>
      </c>
      <c r="E142" t="s">
        <v>100</v>
      </c>
      <c r="F142" t="s">
        <v>45</v>
      </c>
      <c r="G142" t="s">
        <v>131</v>
      </c>
      <c r="K142" t="s">
        <v>44</v>
      </c>
      <c r="L142" t="s">
        <v>144</v>
      </c>
      <c r="M142" t="s">
        <v>404</v>
      </c>
      <c r="N142" s="4">
        <v>45615</v>
      </c>
      <c r="U142" t="s">
        <v>50</v>
      </c>
      <c r="AA142" t="s">
        <v>255</v>
      </c>
      <c r="AD142" t="s">
        <v>428</v>
      </c>
      <c r="AE142" t="s">
        <v>44</v>
      </c>
      <c r="AG142" s="2">
        <v>45623</v>
      </c>
      <c r="AJ142" s="2">
        <v>45614</v>
      </c>
      <c r="AK142" s="4">
        <v>45615</v>
      </c>
      <c r="AL142" t="s">
        <v>231</v>
      </c>
      <c r="AM142" t="s">
        <v>270</v>
      </c>
      <c r="AN142">
        <v>1</v>
      </c>
      <c r="AO142">
        <v>8</v>
      </c>
      <c r="AQ142">
        <f t="shared" si="4"/>
        <v>8</v>
      </c>
      <c r="AR142">
        <f t="shared" si="5"/>
        <v>2024</v>
      </c>
    </row>
    <row r="143" spans="2:44" x14ac:dyDescent="0.25">
      <c r="B143" t="s">
        <v>228</v>
      </c>
      <c r="C143" t="s">
        <v>43</v>
      </c>
      <c r="E143" t="s">
        <v>100</v>
      </c>
      <c r="F143" t="s">
        <v>45</v>
      </c>
      <c r="G143" t="s">
        <v>131</v>
      </c>
      <c r="K143" t="s">
        <v>44</v>
      </c>
      <c r="L143" t="s">
        <v>144</v>
      </c>
      <c r="M143" t="s">
        <v>404</v>
      </c>
      <c r="N143" s="4">
        <v>45623</v>
      </c>
      <c r="U143" t="s">
        <v>50</v>
      </c>
      <c r="AA143" t="s">
        <v>255</v>
      </c>
      <c r="AD143" t="s">
        <v>429</v>
      </c>
      <c r="AE143" t="s">
        <v>44</v>
      </c>
      <c r="AG143" s="2">
        <v>45632</v>
      </c>
      <c r="AJ143" s="2">
        <v>45623</v>
      </c>
      <c r="AK143" s="4">
        <v>45629</v>
      </c>
      <c r="AL143" t="s">
        <v>231</v>
      </c>
      <c r="AM143" t="s">
        <v>270</v>
      </c>
      <c r="AN143">
        <v>6</v>
      </c>
      <c r="AO143">
        <v>9</v>
      </c>
      <c r="AQ143">
        <f t="shared" si="4"/>
        <v>9</v>
      </c>
      <c r="AR143">
        <f t="shared" si="5"/>
        <v>2024</v>
      </c>
    </row>
    <row r="144" spans="2:44" x14ac:dyDescent="0.25">
      <c r="B144" t="s">
        <v>228</v>
      </c>
      <c r="C144" t="s">
        <v>43</v>
      </c>
      <c r="E144" t="s">
        <v>100</v>
      </c>
      <c r="F144" t="s">
        <v>45</v>
      </c>
      <c r="G144" t="s">
        <v>131</v>
      </c>
      <c r="K144" t="s">
        <v>44</v>
      </c>
      <c r="L144" t="s">
        <v>144</v>
      </c>
      <c r="M144" t="s">
        <v>404</v>
      </c>
      <c r="N144" s="4">
        <v>45643</v>
      </c>
      <c r="U144" t="s">
        <v>50</v>
      </c>
      <c r="AA144" t="s">
        <v>255</v>
      </c>
      <c r="AD144" t="s">
        <v>430</v>
      </c>
      <c r="AE144" t="s">
        <v>44</v>
      </c>
      <c r="AG144" s="2">
        <v>45645</v>
      </c>
      <c r="AJ144" s="2">
        <v>45642</v>
      </c>
      <c r="AK144" s="4">
        <v>45643</v>
      </c>
      <c r="AL144" t="s">
        <v>231</v>
      </c>
      <c r="AM144" t="s">
        <v>270</v>
      </c>
      <c r="AN144">
        <v>1</v>
      </c>
      <c r="AO144">
        <v>2</v>
      </c>
      <c r="AQ144">
        <f t="shared" si="4"/>
        <v>2</v>
      </c>
      <c r="AR144">
        <f t="shared" si="5"/>
        <v>2024</v>
      </c>
    </row>
    <row r="145" spans="2:44" x14ac:dyDescent="0.25">
      <c r="B145" t="s">
        <v>228</v>
      </c>
      <c r="C145" t="s">
        <v>43</v>
      </c>
      <c r="E145" t="s">
        <v>100</v>
      </c>
      <c r="F145" t="s">
        <v>45</v>
      </c>
      <c r="G145" t="s">
        <v>131</v>
      </c>
      <c r="K145" t="s">
        <v>44</v>
      </c>
      <c r="L145" t="s">
        <v>144</v>
      </c>
      <c r="M145" t="s">
        <v>404</v>
      </c>
      <c r="N145" s="4">
        <v>45660</v>
      </c>
      <c r="U145" t="s">
        <v>50</v>
      </c>
      <c r="AA145" t="s">
        <v>255</v>
      </c>
      <c r="AD145" t="s">
        <v>431</v>
      </c>
      <c r="AE145" t="s">
        <v>44</v>
      </c>
      <c r="AG145" s="2">
        <v>45658</v>
      </c>
      <c r="AJ145" s="2">
        <v>45660</v>
      </c>
      <c r="AK145" s="4">
        <v>45660</v>
      </c>
      <c r="AL145" t="s">
        <v>231</v>
      </c>
      <c r="AM145" t="s">
        <v>270</v>
      </c>
      <c r="AN145">
        <v>0</v>
      </c>
      <c r="AO145">
        <v>-2</v>
      </c>
      <c r="AQ145" t="str">
        <f t="shared" si="4"/>
        <v/>
      </c>
      <c r="AR145">
        <f t="shared" si="5"/>
        <v>2025</v>
      </c>
    </row>
    <row r="146" spans="2:44" x14ac:dyDescent="0.25">
      <c r="B146" t="s">
        <v>228</v>
      </c>
      <c r="C146" t="s">
        <v>264</v>
      </c>
      <c r="E146" t="s">
        <v>100</v>
      </c>
      <c r="F146" t="s">
        <v>45</v>
      </c>
      <c r="G146" t="s">
        <v>131</v>
      </c>
      <c r="H146" t="s">
        <v>47</v>
      </c>
      <c r="I146" t="s">
        <v>432</v>
      </c>
      <c r="K146" t="s">
        <v>44</v>
      </c>
      <c r="L146" t="s">
        <v>144</v>
      </c>
      <c r="M146" t="s">
        <v>404</v>
      </c>
      <c r="N146" s="4">
        <v>45643</v>
      </c>
      <c r="U146" t="s">
        <v>50</v>
      </c>
      <c r="AA146" t="s">
        <v>255</v>
      </c>
      <c r="AD146" t="s">
        <v>433</v>
      </c>
      <c r="AE146" t="s">
        <v>44</v>
      </c>
      <c r="AG146" s="2">
        <v>45645</v>
      </c>
      <c r="AJ146" s="2">
        <v>45643</v>
      </c>
      <c r="AK146" s="4">
        <v>45643</v>
      </c>
      <c r="AL146" t="s">
        <v>231</v>
      </c>
      <c r="AM146" t="s">
        <v>270</v>
      </c>
      <c r="AN146">
        <v>0</v>
      </c>
      <c r="AO146">
        <v>2</v>
      </c>
      <c r="AQ146">
        <f t="shared" si="4"/>
        <v>2</v>
      </c>
      <c r="AR146">
        <f t="shared" si="5"/>
        <v>2024</v>
      </c>
    </row>
    <row r="147" spans="2:44" x14ac:dyDescent="0.25">
      <c r="B147" t="s">
        <v>228</v>
      </c>
      <c r="C147" t="s">
        <v>264</v>
      </c>
      <c r="E147" t="s">
        <v>100</v>
      </c>
      <c r="F147" t="s">
        <v>45</v>
      </c>
      <c r="G147" t="s">
        <v>131</v>
      </c>
      <c r="K147" t="s">
        <v>44</v>
      </c>
      <c r="L147" t="s">
        <v>144</v>
      </c>
      <c r="M147" t="s">
        <v>404</v>
      </c>
      <c r="N147" s="4">
        <v>45659</v>
      </c>
      <c r="U147" t="s">
        <v>50</v>
      </c>
      <c r="AA147" t="s">
        <v>255</v>
      </c>
      <c r="AD147" t="s">
        <v>434</v>
      </c>
      <c r="AE147" t="s">
        <v>44</v>
      </c>
      <c r="AG147" s="2">
        <v>45667</v>
      </c>
      <c r="AJ147" s="2">
        <v>45658</v>
      </c>
      <c r="AK147" s="4">
        <v>45659</v>
      </c>
      <c r="AL147" t="s">
        <v>231</v>
      </c>
      <c r="AM147" t="s">
        <v>270</v>
      </c>
      <c r="AN147">
        <v>1</v>
      </c>
      <c r="AO147">
        <v>8</v>
      </c>
      <c r="AQ147">
        <f t="shared" si="4"/>
        <v>8</v>
      </c>
      <c r="AR147">
        <f t="shared" si="5"/>
        <v>2025</v>
      </c>
    </row>
    <row r="148" spans="2:44" x14ac:dyDescent="0.25">
      <c r="B148" t="s">
        <v>435</v>
      </c>
      <c r="C148" t="s">
        <v>43</v>
      </c>
      <c r="E148" t="s">
        <v>100</v>
      </c>
      <c r="F148" t="s">
        <v>45</v>
      </c>
      <c r="G148" t="s">
        <v>131</v>
      </c>
      <c r="K148" t="s">
        <v>44</v>
      </c>
      <c r="L148" t="s">
        <v>98</v>
      </c>
      <c r="M148" t="s">
        <v>436</v>
      </c>
      <c r="N148" s="4">
        <v>45683</v>
      </c>
      <c r="U148" t="s">
        <v>50</v>
      </c>
      <c r="AA148" t="s">
        <v>255</v>
      </c>
      <c r="AD148" t="s">
        <v>437</v>
      </c>
      <c r="AE148" t="s">
        <v>44</v>
      </c>
      <c r="AG148" s="2">
        <v>45658</v>
      </c>
      <c r="AJ148" s="2">
        <v>45628</v>
      </c>
      <c r="AK148" s="4">
        <v>45659</v>
      </c>
      <c r="AL148" t="s">
        <v>412</v>
      </c>
      <c r="AM148" t="s">
        <v>270</v>
      </c>
      <c r="AN148">
        <v>31</v>
      </c>
      <c r="AO148">
        <v>-25</v>
      </c>
      <c r="AQ148" t="str">
        <f t="shared" si="4"/>
        <v/>
      </c>
      <c r="AR148">
        <f t="shared" si="5"/>
        <v>2025</v>
      </c>
    </row>
    <row r="149" spans="2:44" x14ac:dyDescent="0.25">
      <c r="B149" t="s">
        <v>90</v>
      </c>
      <c r="C149" t="s">
        <v>43</v>
      </c>
      <c r="D149" t="s">
        <v>43</v>
      </c>
      <c r="E149" t="s">
        <v>100</v>
      </c>
      <c r="F149" t="s">
        <v>45</v>
      </c>
      <c r="G149" t="s">
        <v>131</v>
      </c>
      <c r="H149" t="s">
        <v>56</v>
      </c>
      <c r="K149" t="s">
        <v>44</v>
      </c>
      <c r="L149" t="s">
        <v>438</v>
      </c>
      <c r="M149" t="s">
        <v>439</v>
      </c>
      <c r="N149" s="4">
        <v>45616</v>
      </c>
      <c r="U149" t="s">
        <v>50</v>
      </c>
      <c r="AA149" t="s">
        <v>440</v>
      </c>
      <c r="AD149" t="s">
        <v>441</v>
      </c>
      <c r="AE149" t="s">
        <v>44</v>
      </c>
      <c r="AG149" s="2">
        <v>45630</v>
      </c>
      <c r="AJ149" s="2">
        <v>45616</v>
      </c>
      <c r="AK149" s="4">
        <v>45628</v>
      </c>
      <c r="AL149" t="s">
        <v>417</v>
      </c>
      <c r="AM149" t="s">
        <v>418</v>
      </c>
      <c r="AN149">
        <v>12</v>
      </c>
      <c r="AO149">
        <v>14</v>
      </c>
      <c r="AQ149">
        <f t="shared" si="4"/>
        <v>14</v>
      </c>
      <c r="AR149">
        <f t="shared" si="5"/>
        <v>2024</v>
      </c>
    </row>
    <row r="150" spans="2:44" x14ac:dyDescent="0.25">
      <c r="B150" t="s">
        <v>90</v>
      </c>
      <c r="C150" t="s">
        <v>43</v>
      </c>
      <c r="D150" t="s">
        <v>43</v>
      </c>
      <c r="E150" t="s">
        <v>100</v>
      </c>
      <c r="F150" t="s">
        <v>45</v>
      </c>
      <c r="G150" t="s">
        <v>131</v>
      </c>
      <c r="H150" t="s">
        <v>47</v>
      </c>
      <c r="I150" t="s">
        <v>442</v>
      </c>
      <c r="K150" t="s">
        <v>44</v>
      </c>
      <c r="L150" t="s">
        <v>438</v>
      </c>
      <c r="M150" t="s">
        <v>415</v>
      </c>
      <c r="N150" s="4">
        <v>45628</v>
      </c>
      <c r="U150" t="s">
        <v>50</v>
      </c>
      <c r="AA150" t="s">
        <v>440</v>
      </c>
      <c r="AD150" t="s">
        <v>443</v>
      </c>
      <c r="AE150" t="s">
        <v>44</v>
      </c>
      <c r="AG150" s="2">
        <v>45642</v>
      </c>
      <c r="AJ150" s="2">
        <v>45628</v>
      </c>
      <c r="AK150" s="4">
        <v>45656</v>
      </c>
      <c r="AL150" t="s">
        <v>417</v>
      </c>
      <c r="AM150" t="s">
        <v>418</v>
      </c>
      <c r="AN150">
        <v>28</v>
      </c>
      <c r="AO150">
        <v>14</v>
      </c>
      <c r="AQ150">
        <f t="shared" si="4"/>
        <v>14</v>
      </c>
      <c r="AR150">
        <f t="shared" si="5"/>
        <v>2024</v>
      </c>
    </row>
    <row r="151" spans="2:44" x14ac:dyDescent="0.25">
      <c r="B151" t="s">
        <v>444</v>
      </c>
      <c r="C151" t="s">
        <v>43</v>
      </c>
      <c r="E151" t="s">
        <v>100</v>
      </c>
      <c r="F151" t="s">
        <v>45</v>
      </c>
      <c r="G151" t="s">
        <v>131</v>
      </c>
      <c r="K151" t="s">
        <v>44</v>
      </c>
      <c r="L151" t="s">
        <v>144</v>
      </c>
      <c r="M151" t="s">
        <v>404</v>
      </c>
      <c r="N151" s="4">
        <v>45553</v>
      </c>
      <c r="U151" t="s">
        <v>50</v>
      </c>
      <c r="AA151" t="s">
        <v>362</v>
      </c>
      <c r="AD151" t="s">
        <v>445</v>
      </c>
      <c r="AE151" t="s">
        <v>44</v>
      </c>
      <c r="AG151" s="2">
        <v>45555</v>
      </c>
      <c r="AJ151" s="2">
        <v>45553</v>
      </c>
      <c r="AK151" s="4">
        <v>45555</v>
      </c>
      <c r="AL151" t="s">
        <v>231</v>
      </c>
      <c r="AM151" t="s">
        <v>270</v>
      </c>
      <c r="AN151">
        <v>2</v>
      </c>
      <c r="AO151">
        <v>2</v>
      </c>
      <c r="AQ151">
        <f t="shared" si="4"/>
        <v>2</v>
      </c>
      <c r="AR151">
        <f t="shared" si="5"/>
        <v>2024</v>
      </c>
    </row>
    <row r="152" spans="2:44" x14ac:dyDescent="0.25">
      <c r="B152" t="s">
        <v>444</v>
      </c>
      <c r="C152" t="s">
        <v>43</v>
      </c>
      <c r="E152" t="s">
        <v>100</v>
      </c>
      <c r="F152" t="s">
        <v>45</v>
      </c>
      <c r="G152" t="s">
        <v>131</v>
      </c>
      <c r="K152" t="s">
        <v>44</v>
      </c>
      <c r="L152" t="s">
        <v>144</v>
      </c>
      <c r="M152" t="s">
        <v>446</v>
      </c>
      <c r="N152" s="4">
        <v>45553</v>
      </c>
      <c r="U152" t="s">
        <v>50</v>
      </c>
      <c r="AA152" t="s">
        <v>362</v>
      </c>
      <c r="AD152" t="s">
        <v>447</v>
      </c>
      <c r="AE152" t="s">
        <v>44</v>
      </c>
      <c r="AG152" s="2">
        <v>45555</v>
      </c>
      <c r="AJ152" s="2">
        <v>45553</v>
      </c>
      <c r="AK152" s="4">
        <v>45555</v>
      </c>
      <c r="AL152" t="s">
        <v>231</v>
      </c>
      <c r="AM152" t="s">
        <v>270</v>
      </c>
      <c r="AN152">
        <v>2</v>
      </c>
      <c r="AO152">
        <v>2</v>
      </c>
      <c r="AQ152">
        <f t="shared" si="4"/>
        <v>2</v>
      </c>
      <c r="AR152">
        <f t="shared" si="5"/>
        <v>2024</v>
      </c>
    </row>
    <row r="153" spans="2:44" x14ac:dyDescent="0.25">
      <c r="B153" t="s">
        <v>448</v>
      </c>
      <c r="C153" t="s">
        <v>43</v>
      </c>
      <c r="E153" t="s">
        <v>100</v>
      </c>
      <c r="F153" t="s">
        <v>45</v>
      </c>
      <c r="G153" t="s">
        <v>131</v>
      </c>
      <c r="K153" t="s">
        <v>44</v>
      </c>
      <c r="L153" t="s">
        <v>144</v>
      </c>
      <c r="M153" t="s">
        <v>404</v>
      </c>
      <c r="N153" s="4">
        <v>45558</v>
      </c>
      <c r="U153" t="s">
        <v>50</v>
      </c>
      <c r="AA153" t="s">
        <v>362</v>
      </c>
      <c r="AD153" t="s">
        <v>449</v>
      </c>
      <c r="AE153" t="s">
        <v>44</v>
      </c>
      <c r="AG153" s="2">
        <v>45566</v>
      </c>
      <c r="AJ153" s="2">
        <v>45558</v>
      </c>
      <c r="AK153" s="4">
        <v>45558</v>
      </c>
      <c r="AL153" t="s">
        <v>231</v>
      </c>
      <c r="AM153" t="s">
        <v>270</v>
      </c>
      <c r="AN153">
        <v>0</v>
      </c>
      <c r="AO153">
        <v>8</v>
      </c>
      <c r="AQ153">
        <f t="shared" si="4"/>
        <v>8</v>
      </c>
      <c r="AR153">
        <f t="shared" si="5"/>
        <v>2024</v>
      </c>
    </row>
    <row r="154" spans="2:44" x14ac:dyDescent="0.25">
      <c r="B154" t="s">
        <v>275</v>
      </c>
      <c r="C154" t="s">
        <v>43</v>
      </c>
      <c r="E154" t="s">
        <v>100</v>
      </c>
      <c r="F154" t="s">
        <v>45</v>
      </c>
      <c r="G154" t="s">
        <v>131</v>
      </c>
      <c r="K154" t="s">
        <v>44</v>
      </c>
      <c r="L154" t="s">
        <v>144</v>
      </c>
      <c r="M154" t="s">
        <v>404</v>
      </c>
      <c r="N154" s="4">
        <v>45555</v>
      </c>
      <c r="U154" t="s">
        <v>50</v>
      </c>
      <c r="AA154" t="s">
        <v>362</v>
      </c>
      <c r="AD154" t="s">
        <v>450</v>
      </c>
      <c r="AE154" t="s">
        <v>44</v>
      </c>
      <c r="AG154" s="2">
        <v>45566</v>
      </c>
      <c r="AJ154" s="2">
        <v>45555</v>
      </c>
      <c r="AK154" s="4">
        <v>45562</v>
      </c>
      <c r="AL154" t="s">
        <v>231</v>
      </c>
      <c r="AM154" t="s">
        <v>270</v>
      </c>
      <c r="AN154">
        <v>7</v>
      </c>
      <c r="AO154">
        <v>11</v>
      </c>
      <c r="AQ154">
        <f t="shared" si="4"/>
        <v>11</v>
      </c>
      <c r="AR154">
        <f t="shared" si="5"/>
        <v>2024</v>
      </c>
    </row>
    <row r="155" spans="2:44" x14ac:dyDescent="0.25">
      <c r="B155" t="s">
        <v>451</v>
      </c>
      <c r="C155" t="s">
        <v>43</v>
      </c>
      <c r="E155" t="s">
        <v>100</v>
      </c>
      <c r="F155" t="s">
        <v>45</v>
      </c>
      <c r="G155" t="s">
        <v>131</v>
      </c>
      <c r="K155" t="s">
        <v>44</v>
      </c>
      <c r="L155" t="s">
        <v>144</v>
      </c>
      <c r="M155" t="s">
        <v>144</v>
      </c>
      <c r="N155" s="4">
        <v>45618</v>
      </c>
      <c r="U155" t="s">
        <v>50</v>
      </c>
      <c r="AA155" t="s">
        <v>362</v>
      </c>
      <c r="AD155" t="s">
        <v>452</v>
      </c>
      <c r="AE155" t="s">
        <v>44</v>
      </c>
      <c r="AG155" s="2">
        <v>45628</v>
      </c>
      <c r="AJ155" s="2">
        <v>45621</v>
      </c>
      <c r="AK155" s="4">
        <v>45624</v>
      </c>
      <c r="AL155" t="s">
        <v>231</v>
      </c>
      <c r="AM155" t="s">
        <v>270</v>
      </c>
      <c r="AN155">
        <v>3</v>
      </c>
      <c r="AO155">
        <v>10</v>
      </c>
      <c r="AQ155">
        <f t="shared" si="4"/>
        <v>10</v>
      </c>
      <c r="AR155">
        <f t="shared" si="5"/>
        <v>2024</v>
      </c>
    </row>
    <row r="156" spans="2:44" x14ac:dyDescent="0.25">
      <c r="B156" t="s">
        <v>451</v>
      </c>
      <c r="C156" t="s">
        <v>43</v>
      </c>
      <c r="E156" t="s">
        <v>100</v>
      </c>
      <c r="F156" t="s">
        <v>45</v>
      </c>
      <c r="G156" t="s">
        <v>131</v>
      </c>
      <c r="K156" t="s">
        <v>44</v>
      </c>
      <c r="L156" t="s">
        <v>98</v>
      </c>
      <c r="M156" t="s">
        <v>98</v>
      </c>
      <c r="N156" s="4">
        <v>45629</v>
      </c>
      <c r="U156" t="s">
        <v>50</v>
      </c>
      <c r="AA156" t="s">
        <v>362</v>
      </c>
      <c r="AD156" t="s">
        <v>453</v>
      </c>
      <c r="AE156" t="s">
        <v>44</v>
      </c>
      <c r="AG156" s="2">
        <v>45636</v>
      </c>
      <c r="AJ156" s="2">
        <v>45632</v>
      </c>
      <c r="AK156" s="4">
        <v>45635</v>
      </c>
      <c r="AL156" t="s">
        <v>231</v>
      </c>
      <c r="AM156" t="s">
        <v>270</v>
      </c>
      <c r="AN156">
        <v>3</v>
      </c>
      <c r="AO156">
        <v>7</v>
      </c>
      <c r="AQ156">
        <f t="shared" si="4"/>
        <v>7</v>
      </c>
      <c r="AR156">
        <f t="shared" si="5"/>
        <v>2024</v>
      </c>
    </row>
    <row r="157" spans="2:44" x14ac:dyDescent="0.25">
      <c r="B157" t="s">
        <v>454</v>
      </c>
      <c r="C157" t="s">
        <v>43</v>
      </c>
      <c r="E157" t="s">
        <v>100</v>
      </c>
      <c r="F157" t="s">
        <v>45</v>
      </c>
      <c r="G157" t="s">
        <v>131</v>
      </c>
      <c r="K157" t="s">
        <v>44</v>
      </c>
      <c r="L157" t="s">
        <v>144</v>
      </c>
      <c r="M157" t="s">
        <v>404</v>
      </c>
      <c r="N157" s="4">
        <v>45642</v>
      </c>
      <c r="U157" t="s">
        <v>50</v>
      </c>
      <c r="AA157" t="s">
        <v>362</v>
      </c>
      <c r="AD157" t="s">
        <v>455</v>
      </c>
      <c r="AE157" t="s">
        <v>44</v>
      </c>
      <c r="AG157" s="2">
        <v>45643</v>
      </c>
      <c r="AJ157" s="2">
        <v>45642</v>
      </c>
      <c r="AK157" s="4">
        <v>45642</v>
      </c>
      <c r="AL157" t="s">
        <v>231</v>
      </c>
      <c r="AM157" t="s">
        <v>270</v>
      </c>
      <c r="AN157">
        <v>0</v>
      </c>
      <c r="AO157">
        <v>1</v>
      </c>
      <c r="AQ157">
        <f t="shared" si="4"/>
        <v>1</v>
      </c>
      <c r="AR157">
        <f t="shared" si="5"/>
        <v>2024</v>
      </c>
    </row>
    <row r="158" spans="2:44" x14ac:dyDescent="0.25">
      <c r="B158" t="s">
        <v>454</v>
      </c>
      <c r="C158" t="s">
        <v>43</v>
      </c>
      <c r="E158" t="s">
        <v>100</v>
      </c>
      <c r="F158" t="s">
        <v>45</v>
      </c>
      <c r="G158" t="s">
        <v>131</v>
      </c>
      <c r="K158" t="s">
        <v>44</v>
      </c>
      <c r="L158" t="s">
        <v>144</v>
      </c>
      <c r="M158" t="s">
        <v>404</v>
      </c>
      <c r="N158" s="4">
        <v>45673</v>
      </c>
      <c r="U158" t="s">
        <v>50</v>
      </c>
      <c r="AA158" t="s">
        <v>255</v>
      </c>
      <c r="AD158" t="s">
        <v>456</v>
      </c>
      <c r="AE158" t="s">
        <v>44</v>
      </c>
      <c r="AG158" s="2">
        <v>45643</v>
      </c>
      <c r="AJ158" s="2">
        <v>45642</v>
      </c>
      <c r="AK158" s="4">
        <v>45642</v>
      </c>
      <c r="AL158" t="s">
        <v>231</v>
      </c>
      <c r="AM158" t="s">
        <v>270</v>
      </c>
      <c r="AN158">
        <v>0</v>
      </c>
      <c r="AO158">
        <v>-30</v>
      </c>
      <c r="AQ158" t="str">
        <f t="shared" si="4"/>
        <v/>
      </c>
      <c r="AR158">
        <f t="shared" si="5"/>
        <v>2025</v>
      </c>
    </row>
    <row r="159" spans="2:44" x14ac:dyDescent="0.25">
      <c r="B159" t="s">
        <v>90</v>
      </c>
      <c r="C159" t="s">
        <v>43</v>
      </c>
      <c r="E159" t="s">
        <v>100</v>
      </c>
      <c r="F159" t="s">
        <v>45</v>
      </c>
      <c r="G159" t="s">
        <v>131</v>
      </c>
      <c r="H159" t="s">
        <v>47</v>
      </c>
      <c r="I159" t="s">
        <v>457</v>
      </c>
      <c r="K159" t="s">
        <v>44</v>
      </c>
      <c r="L159" t="s">
        <v>438</v>
      </c>
      <c r="M159" t="s">
        <v>415</v>
      </c>
      <c r="U159" t="s">
        <v>458</v>
      </c>
      <c r="AA159" t="s">
        <v>255</v>
      </c>
      <c r="AE159" t="s">
        <v>44</v>
      </c>
      <c r="AM159" t="s">
        <v>418</v>
      </c>
      <c r="AN159">
        <v>0</v>
      </c>
      <c r="AO159" t="b">
        <v>0</v>
      </c>
      <c r="AQ159" t="str">
        <f t="shared" si="4"/>
        <v/>
      </c>
      <c r="AR159">
        <f t="shared" si="5"/>
        <v>1900</v>
      </c>
    </row>
    <row r="160" spans="2:44" x14ac:dyDescent="0.25">
      <c r="B160" t="s">
        <v>90</v>
      </c>
      <c r="C160" t="s">
        <v>43</v>
      </c>
      <c r="E160" t="s">
        <v>100</v>
      </c>
      <c r="F160" t="s">
        <v>45</v>
      </c>
      <c r="G160" t="s">
        <v>131</v>
      </c>
      <c r="H160" t="s">
        <v>47</v>
      </c>
      <c r="I160" t="s">
        <v>459</v>
      </c>
      <c r="K160" t="s">
        <v>44</v>
      </c>
      <c r="L160" t="s">
        <v>438</v>
      </c>
      <c r="M160" t="s">
        <v>415</v>
      </c>
      <c r="U160" t="s">
        <v>458</v>
      </c>
      <c r="AA160" t="s">
        <v>255</v>
      </c>
      <c r="AE160" t="s">
        <v>44</v>
      </c>
      <c r="AM160" t="s">
        <v>418</v>
      </c>
      <c r="AN160">
        <v>0</v>
      </c>
      <c r="AO160" t="b">
        <v>0</v>
      </c>
      <c r="AQ160" t="str">
        <f t="shared" si="4"/>
        <v/>
      </c>
      <c r="AR160">
        <f t="shared" si="5"/>
        <v>1900</v>
      </c>
    </row>
    <row r="161" spans="2:44" x14ac:dyDescent="0.25">
      <c r="B161" t="s">
        <v>460</v>
      </c>
      <c r="C161" t="s">
        <v>43</v>
      </c>
      <c r="E161" t="s">
        <v>100</v>
      </c>
      <c r="F161" t="s">
        <v>45</v>
      </c>
      <c r="G161" t="s">
        <v>131</v>
      </c>
      <c r="H161" t="s">
        <v>461</v>
      </c>
      <c r="K161" t="s">
        <v>44</v>
      </c>
      <c r="L161" t="s">
        <v>438</v>
      </c>
      <c r="M161" t="s">
        <v>415</v>
      </c>
      <c r="U161" t="s">
        <v>458</v>
      </c>
      <c r="AA161" t="s">
        <v>255</v>
      </c>
      <c r="AE161" t="s">
        <v>44</v>
      </c>
      <c r="AM161" t="s">
        <v>418</v>
      </c>
      <c r="AN161">
        <v>0</v>
      </c>
      <c r="AO161" t="b">
        <v>0</v>
      </c>
      <c r="AQ161" t="str">
        <f t="shared" si="4"/>
        <v/>
      </c>
      <c r="AR161">
        <f t="shared" si="5"/>
        <v>1900</v>
      </c>
    </row>
    <row r="162" spans="2:44" x14ac:dyDescent="0.25">
      <c r="B162" t="s">
        <v>462</v>
      </c>
      <c r="C162" t="s">
        <v>43</v>
      </c>
      <c r="E162" t="s">
        <v>100</v>
      </c>
      <c r="F162" t="s">
        <v>45</v>
      </c>
      <c r="G162" t="s">
        <v>361</v>
      </c>
      <c r="H162" t="s">
        <v>461</v>
      </c>
      <c r="K162" t="s">
        <v>44</v>
      </c>
      <c r="L162" t="s">
        <v>438</v>
      </c>
      <c r="M162" t="s">
        <v>415</v>
      </c>
      <c r="U162" t="s">
        <v>458</v>
      </c>
      <c r="AA162" t="s">
        <v>255</v>
      </c>
      <c r="AE162" t="s">
        <v>44</v>
      </c>
      <c r="AM162" t="s">
        <v>418</v>
      </c>
      <c r="AN162">
        <v>0</v>
      </c>
      <c r="AO162" t="b">
        <v>0</v>
      </c>
      <c r="AQ162" t="str">
        <f t="shared" si="4"/>
        <v/>
      </c>
      <c r="AR162">
        <f t="shared" si="5"/>
        <v>1900</v>
      </c>
    </row>
    <row r="163" spans="2:44" x14ac:dyDescent="0.25">
      <c r="B163" t="s">
        <v>463</v>
      </c>
      <c r="C163" t="s">
        <v>43</v>
      </c>
      <c r="E163" t="s">
        <v>464</v>
      </c>
      <c r="F163" t="s">
        <v>45</v>
      </c>
      <c r="G163" t="s">
        <v>131</v>
      </c>
      <c r="H163" t="s">
        <v>465</v>
      </c>
      <c r="K163" t="s">
        <v>282</v>
      </c>
      <c r="L163" t="s">
        <v>59</v>
      </c>
      <c r="M163" t="s">
        <v>379</v>
      </c>
      <c r="N163" s="4">
        <v>45677</v>
      </c>
      <c r="U163" t="s">
        <v>50</v>
      </c>
      <c r="AA163" t="s">
        <v>149</v>
      </c>
      <c r="AD163" t="s">
        <v>466</v>
      </c>
      <c r="AE163" t="s">
        <v>44</v>
      </c>
      <c r="AG163" s="2">
        <v>45729</v>
      </c>
      <c r="AJ163" s="2">
        <v>45680</v>
      </c>
      <c r="AK163" s="4">
        <v>45702</v>
      </c>
      <c r="AL163" t="s">
        <v>467</v>
      </c>
      <c r="AM163" t="s">
        <v>163</v>
      </c>
      <c r="AN163">
        <v>22</v>
      </c>
      <c r="AO163">
        <v>52</v>
      </c>
      <c r="AQ163">
        <f t="shared" si="4"/>
        <v>52</v>
      </c>
      <c r="AR163">
        <f t="shared" si="5"/>
        <v>2025</v>
      </c>
    </row>
    <row r="164" spans="2:44" x14ac:dyDescent="0.25">
      <c r="B164" t="s">
        <v>463</v>
      </c>
      <c r="C164" t="s">
        <v>43</v>
      </c>
      <c r="E164" t="s">
        <v>464</v>
      </c>
      <c r="F164" t="s">
        <v>45</v>
      </c>
      <c r="G164" t="s">
        <v>131</v>
      </c>
      <c r="H164" t="s">
        <v>465</v>
      </c>
      <c r="K164" t="s">
        <v>282</v>
      </c>
      <c r="L164" t="s">
        <v>59</v>
      </c>
      <c r="M164" t="s">
        <v>379</v>
      </c>
      <c r="N164" s="4">
        <v>45677</v>
      </c>
      <c r="U164" t="s">
        <v>50</v>
      </c>
      <c r="AA164" t="s">
        <v>149</v>
      </c>
      <c r="AD164" t="s">
        <v>468</v>
      </c>
      <c r="AE164" t="s">
        <v>44</v>
      </c>
      <c r="AG164" s="2">
        <v>45735</v>
      </c>
      <c r="AJ164" s="2">
        <v>45680</v>
      </c>
      <c r="AK164" s="4">
        <v>45701</v>
      </c>
      <c r="AL164" t="s">
        <v>467</v>
      </c>
      <c r="AM164" t="s">
        <v>163</v>
      </c>
      <c r="AN164">
        <v>21</v>
      </c>
      <c r="AO164">
        <v>58</v>
      </c>
      <c r="AQ164">
        <f t="shared" si="4"/>
        <v>58</v>
      </c>
      <c r="AR164">
        <f t="shared" si="5"/>
        <v>2025</v>
      </c>
    </row>
    <row r="165" spans="2:44" x14ac:dyDescent="0.25">
      <c r="B165" t="s">
        <v>469</v>
      </c>
      <c r="C165" t="s">
        <v>43</v>
      </c>
      <c r="E165" t="s">
        <v>100</v>
      </c>
      <c r="F165" t="s">
        <v>45</v>
      </c>
      <c r="G165" t="s">
        <v>131</v>
      </c>
      <c r="L165" t="s">
        <v>59</v>
      </c>
      <c r="M165" t="s">
        <v>379</v>
      </c>
      <c r="U165" t="s">
        <v>470</v>
      </c>
      <c r="AM165" t="s">
        <v>163</v>
      </c>
      <c r="AN165">
        <v>0</v>
      </c>
      <c r="AO165">
        <v>46021</v>
      </c>
      <c r="AQ165" t="str">
        <f t="shared" si="4"/>
        <v/>
      </c>
      <c r="AR165">
        <f t="shared" si="5"/>
        <v>1900</v>
      </c>
    </row>
    <row r="166" spans="2:44" x14ac:dyDescent="0.25">
      <c r="B166" t="s">
        <v>471</v>
      </c>
      <c r="C166" t="s">
        <v>43</v>
      </c>
      <c r="E166" t="s">
        <v>153</v>
      </c>
      <c r="F166" t="s">
        <v>158</v>
      </c>
      <c r="G166" t="s">
        <v>131</v>
      </c>
      <c r="H166" t="s">
        <v>47</v>
      </c>
      <c r="K166" t="s">
        <v>199</v>
      </c>
      <c r="L166" t="s">
        <v>472</v>
      </c>
      <c r="M166" t="s">
        <v>473</v>
      </c>
      <c r="N166" s="4">
        <v>45569</v>
      </c>
      <c r="U166" t="s">
        <v>50</v>
      </c>
      <c r="AA166" t="s">
        <v>149</v>
      </c>
      <c r="AD166" t="s">
        <v>474</v>
      </c>
      <c r="AE166" t="s">
        <v>199</v>
      </c>
      <c r="AG166" s="2">
        <v>45721</v>
      </c>
      <c r="AJ166" s="2">
        <v>45663</v>
      </c>
      <c r="AK166" s="4">
        <v>45709</v>
      </c>
      <c r="AL166" t="s">
        <v>475</v>
      </c>
      <c r="AM166" t="s">
        <v>163</v>
      </c>
      <c r="AN166">
        <v>46</v>
      </c>
      <c r="AO166">
        <v>152</v>
      </c>
      <c r="AQ166">
        <f t="shared" si="4"/>
        <v>152</v>
      </c>
      <c r="AR166">
        <f t="shared" si="5"/>
        <v>2024</v>
      </c>
    </row>
    <row r="167" spans="2:44" x14ac:dyDescent="0.25">
      <c r="B167" t="s">
        <v>476</v>
      </c>
      <c r="C167" t="s">
        <v>43</v>
      </c>
      <c r="E167" t="s">
        <v>153</v>
      </c>
      <c r="F167" t="s">
        <v>45</v>
      </c>
      <c r="G167" t="s">
        <v>131</v>
      </c>
      <c r="H167" t="s">
        <v>47</v>
      </c>
      <c r="K167" t="s">
        <v>155</v>
      </c>
      <c r="L167" t="s">
        <v>472</v>
      </c>
      <c r="M167" t="s">
        <v>473</v>
      </c>
      <c r="N167" s="4">
        <v>45585</v>
      </c>
      <c r="U167" t="s">
        <v>50</v>
      </c>
      <c r="AA167" t="s">
        <v>149</v>
      </c>
      <c r="AD167" t="s">
        <v>477</v>
      </c>
      <c r="AE167" t="s">
        <v>155</v>
      </c>
      <c r="AG167" s="2">
        <v>45698</v>
      </c>
      <c r="AJ167" s="2">
        <v>45649</v>
      </c>
      <c r="AK167" s="4">
        <v>45679</v>
      </c>
      <c r="AL167" t="s">
        <v>475</v>
      </c>
      <c r="AM167" t="s">
        <v>163</v>
      </c>
      <c r="AN167">
        <v>30</v>
      </c>
      <c r="AO167">
        <v>113</v>
      </c>
      <c r="AQ167">
        <f t="shared" si="4"/>
        <v>113</v>
      </c>
      <c r="AR167">
        <f t="shared" si="5"/>
        <v>2024</v>
      </c>
    </row>
    <row r="168" spans="2:44" x14ac:dyDescent="0.25">
      <c r="B168" t="s">
        <v>300</v>
      </c>
      <c r="C168" t="s">
        <v>43</v>
      </c>
      <c r="E168" t="s">
        <v>153</v>
      </c>
      <c r="F168" t="s">
        <v>45</v>
      </c>
      <c r="G168" t="s">
        <v>131</v>
      </c>
      <c r="H168" t="s">
        <v>47</v>
      </c>
      <c r="I168" t="s">
        <v>478</v>
      </c>
      <c r="K168" t="s">
        <v>57</v>
      </c>
      <c r="L168" t="s">
        <v>302</v>
      </c>
      <c r="M168" t="s">
        <v>58</v>
      </c>
      <c r="N168" s="4">
        <v>45694</v>
      </c>
      <c r="U168" t="s">
        <v>479</v>
      </c>
      <c r="AH168" s="2">
        <v>45704</v>
      </c>
      <c r="AL168" t="s">
        <v>142</v>
      </c>
      <c r="AM168" t="s">
        <v>102</v>
      </c>
      <c r="AN168">
        <v>0</v>
      </c>
      <c r="AO168">
        <v>10</v>
      </c>
      <c r="AQ168">
        <f t="shared" si="4"/>
        <v>10</v>
      </c>
      <c r="AR168">
        <f t="shared" si="5"/>
        <v>2025</v>
      </c>
    </row>
    <row r="169" spans="2:44" x14ac:dyDescent="0.25">
      <c r="B169" t="s">
        <v>480</v>
      </c>
      <c r="C169" t="s">
        <v>43</v>
      </c>
      <c r="E169" t="s">
        <v>153</v>
      </c>
      <c r="F169" t="s">
        <v>45</v>
      </c>
      <c r="G169" t="s">
        <v>131</v>
      </c>
      <c r="H169" t="s">
        <v>465</v>
      </c>
      <c r="L169" t="s">
        <v>98</v>
      </c>
      <c r="M169" t="s">
        <v>58</v>
      </c>
      <c r="N169" s="4">
        <v>45712</v>
      </c>
      <c r="U169" t="s">
        <v>50</v>
      </c>
      <c r="AA169" t="s">
        <v>149</v>
      </c>
      <c r="AD169" t="s">
        <v>99</v>
      </c>
      <c r="AE169" t="s">
        <v>44</v>
      </c>
      <c r="AG169" s="2">
        <v>45810</v>
      </c>
      <c r="AJ169" s="2">
        <v>45797</v>
      </c>
      <c r="AK169" s="4">
        <v>45867</v>
      </c>
      <c r="AL169" t="s">
        <v>101</v>
      </c>
      <c r="AM169" t="s">
        <v>102</v>
      </c>
      <c r="AN169">
        <v>70</v>
      </c>
      <c r="AO169">
        <v>98</v>
      </c>
      <c r="AQ169">
        <f t="shared" si="4"/>
        <v>98</v>
      </c>
      <c r="AR169">
        <f t="shared" si="5"/>
        <v>2025</v>
      </c>
    </row>
    <row r="170" spans="2:44" x14ac:dyDescent="0.25">
      <c r="B170" t="s">
        <v>480</v>
      </c>
      <c r="C170" t="s">
        <v>139</v>
      </c>
      <c r="E170" t="s">
        <v>153</v>
      </c>
      <c r="F170" t="s">
        <v>45</v>
      </c>
      <c r="G170" t="s">
        <v>131</v>
      </c>
      <c r="H170" t="s">
        <v>465</v>
      </c>
      <c r="L170" t="s">
        <v>98</v>
      </c>
      <c r="M170" t="s">
        <v>58</v>
      </c>
      <c r="N170" s="4">
        <v>45712</v>
      </c>
      <c r="U170" t="s">
        <v>50</v>
      </c>
      <c r="AA170" t="s">
        <v>51</v>
      </c>
      <c r="AD170" t="s">
        <v>481</v>
      </c>
      <c r="AE170" t="s">
        <v>153</v>
      </c>
      <c r="AG170" s="2">
        <v>45853</v>
      </c>
      <c r="AJ170" s="2">
        <v>45789</v>
      </c>
      <c r="AK170" s="4">
        <v>45820</v>
      </c>
      <c r="AL170" t="s">
        <v>482</v>
      </c>
      <c r="AM170" t="s">
        <v>102</v>
      </c>
      <c r="AN170">
        <v>31</v>
      </c>
      <c r="AO170">
        <v>141</v>
      </c>
      <c r="AQ170">
        <f t="shared" si="4"/>
        <v>141</v>
      </c>
      <c r="AR170">
        <f t="shared" si="5"/>
        <v>2025</v>
      </c>
    </row>
    <row r="171" spans="2:44" x14ac:dyDescent="0.25">
      <c r="B171" t="s">
        <v>480</v>
      </c>
      <c r="C171" t="s">
        <v>128</v>
      </c>
      <c r="E171" t="s">
        <v>153</v>
      </c>
      <c r="F171" t="s">
        <v>45</v>
      </c>
      <c r="G171" t="s">
        <v>131</v>
      </c>
      <c r="H171" t="s">
        <v>465</v>
      </c>
      <c r="L171" t="s">
        <v>98</v>
      </c>
      <c r="M171" t="s">
        <v>303</v>
      </c>
      <c r="N171" s="4">
        <v>45712</v>
      </c>
      <c r="U171" t="s">
        <v>50</v>
      </c>
      <c r="AA171" t="s">
        <v>149</v>
      </c>
      <c r="AD171" t="s">
        <v>483</v>
      </c>
      <c r="AE171" t="s">
        <v>153</v>
      </c>
      <c r="AG171" s="2">
        <v>45901</v>
      </c>
      <c r="AJ171" s="2">
        <v>45846</v>
      </c>
      <c r="AK171" s="4">
        <v>45873</v>
      </c>
      <c r="AL171" t="s">
        <v>484</v>
      </c>
      <c r="AM171" t="s">
        <v>102</v>
      </c>
      <c r="AN171">
        <v>27</v>
      </c>
      <c r="AO171">
        <v>189</v>
      </c>
      <c r="AQ171">
        <f t="shared" si="4"/>
        <v>189</v>
      </c>
      <c r="AR171">
        <f t="shared" si="5"/>
        <v>2025</v>
      </c>
    </row>
    <row r="172" spans="2:44" x14ac:dyDescent="0.25">
      <c r="B172" t="s">
        <v>152</v>
      </c>
      <c r="C172" t="s">
        <v>128</v>
      </c>
      <c r="E172" t="s">
        <v>153</v>
      </c>
      <c r="F172" t="s">
        <v>45</v>
      </c>
      <c r="G172" t="s">
        <v>131</v>
      </c>
      <c r="H172" t="s">
        <v>465</v>
      </c>
      <c r="L172" t="s">
        <v>123</v>
      </c>
      <c r="M172" t="s">
        <v>485</v>
      </c>
      <c r="N172" s="4">
        <v>45688</v>
      </c>
      <c r="U172" t="s">
        <v>50</v>
      </c>
      <c r="AA172" t="s">
        <v>51</v>
      </c>
      <c r="AD172" t="s">
        <v>154</v>
      </c>
      <c r="AE172" t="s">
        <v>153</v>
      </c>
      <c r="AG172" s="2">
        <v>45761</v>
      </c>
      <c r="AJ172" s="2">
        <v>45716</v>
      </c>
      <c r="AK172" s="4">
        <v>45735</v>
      </c>
      <c r="AL172" t="s">
        <v>125</v>
      </c>
      <c r="AM172" t="s">
        <v>102</v>
      </c>
      <c r="AN172">
        <v>19</v>
      </c>
      <c r="AO172">
        <v>73</v>
      </c>
      <c r="AQ172">
        <f t="shared" si="4"/>
        <v>73</v>
      </c>
      <c r="AR172">
        <f t="shared" si="5"/>
        <v>2025</v>
      </c>
    </row>
    <row r="173" spans="2:44" x14ac:dyDescent="0.25">
      <c r="B173" t="s">
        <v>486</v>
      </c>
      <c r="C173" t="s">
        <v>128</v>
      </c>
      <c r="E173" t="s">
        <v>100</v>
      </c>
      <c r="F173" t="s">
        <v>45</v>
      </c>
      <c r="G173" t="s">
        <v>131</v>
      </c>
      <c r="H173" t="s">
        <v>465</v>
      </c>
      <c r="L173" t="s">
        <v>123</v>
      </c>
      <c r="M173" t="s">
        <v>485</v>
      </c>
      <c r="N173" s="4">
        <v>45688</v>
      </c>
      <c r="U173" t="s">
        <v>50</v>
      </c>
      <c r="AA173" t="s">
        <v>51</v>
      </c>
      <c r="AD173" t="s">
        <v>487</v>
      </c>
      <c r="AE173" t="s">
        <v>44</v>
      </c>
      <c r="AG173" s="2">
        <v>45761</v>
      </c>
      <c r="AJ173" s="2">
        <v>45708</v>
      </c>
      <c r="AK173" s="4">
        <v>45728</v>
      </c>
      <c r="AL173" t="s">
        <v>125</v>
      </c>
      <c r="AM173" t="s">
        <v>102</v>
      </c>
      <c r="AN173">
        <v>20</v>
      </c>
      <c r="AO173">
        <v>73</v>
      </c>
      <c r="AQ173">
        <f t="shared" si="4"/>
        <v>73</v>
      </c>
      <c r="AR173">
        <f t="shared" si="5"/>
        <v>2025</v>
      </c>
    </row>
    <row r="174" spans="2:44" x14ac:dyDescent="0.25">
      <c r="B174" t="s">
        <v>486</v>
      </c>
      <c r="C174" t="s">
        <v>128</v>
      </c>
      <c r="E174" t="s">
        <v>100</v>
      </c>
      <c r="F174" t="s">
        <v>45</v>
      </c>
      <c r="G174" t="s">
        <v>131</v>
      </c>
      <c r="H174" t="s">
        <v>465</v>
      </c>
      <c r="L174" t="s">
        <v>123</v>
      </c>
      <c r="M174" t="s">
        <v>485</v>
      </c>
      <c r="N174" s="4">
        <v>45688</v>
      </c>
      <c r="U174" t="s">
        <v>50</v>
      </c>
      <c r="AA174" t="s">
        <v>51</v>
      </c>
      <c r="AD174" t="s">
        <v>488</v>
      </c>
      <c r="AE174" t="s">
        <v>44</v>
      </c>
      <c r="AG174" s="2">
        <v>45761</v>
      </c>
      <c r="AJ174" s="2">
        <v>45708</v>
      </c>
      <c r="AK174" s="4">
        <v>45730</v>
      </c>
      <c r="AL174" t="s">
        <v>125</v>
      </c>
      <c r="AM174" t="s">
        <v>102</v>
      </c>
      <c r="AN174">
        <v>22</v>
      </c>
      <c r="AO174">
        <v>73</v>
      </c>
      <c r="AQ174">
        <f t="shared" si="4"/>
        <v>73</v>
      </c>
      <c r="AR174">
        <f t="shared" si="5"/>
        <v>2025</v>
      </c>
    </row>
    <row r="175" spans="2:44" x14ac:dyDescent="0.25">
      <c r="B175" t="s">
        <v>486</v>
      </c>
      <c r="C175" t="s">
        <v>128</v>
      </c>
      <c r="E175" t="s">
        <v>100</v>
      </c>
      <c r="F175" t="s">
        <v>45</v>
      </c>
      <c r="G175" t="s">
        <v>131</v>
      </c>
      <c r="H175" t="s">
        <v>465</v>
      </c>
      <c r="L175" t="s">
        <v>123</v>
      </c>
      <c r="M175" t="s">
        <v>485</v>
      </c>
      <c r="N175" s="4">
        <v>45688</v>
      </c>
      <c r="U175" t="s">
        <v>50</v>
      </c>
      <c r="AA175" t="s">
        <v>51</v>
      </c>
      <c r="AD175" t="s">
        <v>489</v>
      </c>
      <c r="AE175" t="s">
        <v>44</v>
      </c>
      <c r="AG175" s="2">
        <v>45839</v>
      </c>
      <c r="AJ175" s="2">
        <v>45797</v>
      </c>
      <c r="AK175" s="4">
        <v>45818</v>
      </c>
      <c r="AL175" t="s">
        <v>125</v>
      </c>
      <c r="AM175" t="s">
        <v>102</v>
      </c>
      <c r="AN175">
        <v>21</v>
      </c>
      <c r="AO175">
        <v>151</v>
      </c>
      <c r="AQ175">
        <f t="shared" si="4"/>
        <v>151</v>
      </c>
      <c r="AR175">
        <f t="shared" si="5"/>
        <v>2025</v>
      </c>
    </row>
    <row r="176" spans="2:44" x14ac:dyDescent="0.25">
      <c r="B176" t="s">
        <v>486</v>
      </c>
      <c r="C176" t="s">
        <v>43</v>
      </c>
      <c r="E176" t="s">
        <v>100</v>
      </c>
      <c r="F176" t="s">
        <v>45</v>
      </c>
      <c r="G176" t="s">
        <v>131</v>
      </c>
      <c r="H176" t="s">
        <v>465</v>
      </c>
      <c r="L176" t="s">
        <v>123</v>
      </c>
      <c r="M176" t="s">
        <v>485</v>
      </c>
      <c r="N176" s="4">
        <v>45768</v>
      </c>
      <c r="U176" t="s">
        <v>50</v>
      </c>
      <c r="AA176" t="s">
        <v>51</v>
      </c>
      <c r="AD176" t="s">
        <v>490</v>
      </c>
      <c r="AE176" t="s">
        <v>44</v>
      </c>
      <c r="AG176" s="2">
        <v>45839</v>
      </c>
      <c r="AJ176" s="2">
        <v>45797</v>
      </c>
      <c r="AK176" s="4">
        <v>45818</v>
      </c>
      <c r="AL176" t="s">
        <v>125</v>
      </c>
      <c r="AM176" t="s">
        <v>102</v>
      </c>
      <c r="AN176">
        <v>21</v>
      </c>
      <c r="AO176">
        <v>71</v>
      </c>
      <c r="AQ176">
        <f t="shared" si="4"/>
        <v>71</v>
      </c>
      <c r="AR176">
        <f t="shared" si="5"/>
        <v>2025</v>
      </c>
    </row>
    <row r="177" spans="2:44" x14ac:dyDescent="0.25">
      <c r="B177" t="s">
        <v>486</v>
      </c>
      <c r="C177" t="s">
        <v>43</v>
      </c>
      <c r="E177" t="s">
        <v>100</v>
      </c>
      <c r="F177" t="s">
        <v>45</v>
      </c>
      <c r="G177" t="s">
        <v>131</v>
      </c>
      <c r="H177" t="s">
        <v>465</v>
      </c>
      <c r="L177" t="s">
        <v>123</v>
      </c>
      <c r="M177" t="s">
        <v>485</v>
      </c>
      <c r="N177" s="4">
        <v>45768</v>
      </c>
      <c r="U177" t="s">
        <v>50</v>
      </c>
      <c r="AA177" t="s">
        <v>51</v>
      </c>
      <c r="AD177" t="s">
        <v>491</v>
      </c>
      <c r="AE177" t="s">
        <v>44</v>
      </c>
      <c r="AG177" s="2">
        <v>45852</v>
      </c>
      <c r="AJ177" s="2">
        <v>45797</v>
      </c>
      <c r="AK177" s="4">
        <v>45818</v>
      </c>
      <c r="AL177" t="s">
        <v>125</v>
      </c>
      <c r="AM177" t="s">
        <v>102</v>
      </c>
      <c r="AN177">
        <v>21</v>
      </c>
      <c r="AO177">
        <v>84</v>
      </c>
      <c r="AQ177">
        <f t="shared" si="4"/>
        <v>84</v>
      </c>
      <c r="AR177">
        <f t="shared" si="5"/>
        <v>2025</v>
      </c>
    </row>
    <row r="178" spans="2:44" x14ac:dyDescent="0.25">
      <c r="B178" t="s">
        <v>54</v>
      </c>
      <c r="C178" t="s">
        <v>43</v>
      </c>
      <c r="E178" t="s">
        <v>153</v>
      </c>
      <c r="F178" t="s">
        <v>45</v>
      </c>
      <c r="H178" t="s">
        <v>492</v>
      </c>
      <c r="L178" t="s">
        <v>59</v>
      </c>
      <c r="M178" t="s">
        <v>58</v>
      </c>
      <c r="N178" s="4">
        <v>45712</v>
      </c>
      <c r="U178" t="s">
        <v>50</v>
      </c>
      <c r="AA178" t="s">
        <v>51</v>
      </c>
      <c r="AD178" t="s">
        <v>493</v>
      </c>
      <c r="AE178" t="s">
        <v>132</v>
      </c>
      <c r="AG178" s="2">
        <v>45754</v>
      </c>
      <c r="AJ178" s="2">
        <v>45712</v>
      </c>
      <c r="AK178" s="4">
        <v>45744</v>
      </c>
      <c r="AL178" t="s">
        <v>62</v>
      </c>
      <c r="AM178" t="s">
        <v>163</v>
      </c>
      <c r="AN178">
        <v>32</v>
      </c>
      <c r="AO178">
        <v>42</v>
      </c>
      <c r="AQ178">
        <f t="shared" si="4"/>
        <v>42</v>
      </c>
      <c r="AR178">
        <f t="shared" si="5"/>
        <v>2025</v>
      </c>
    </row>
    <row r="179" spans="2:44" x14ac:dyDescent="0.25">
      <c r="B179" t="s">
        <v>494</v>
      </c>
      <c r="C179" t="s">
        <v>43</v>
      </c>
      <c r="E179" t="s">
        <v>282</v>
      </c>
      <c r="F179" t="s">
        <v>158</v>
      </c>
      <c r="H179" t="s">
        <v>492</v>
      </c>
      <c r="L179" t="s">
        <v>59</v>
      </c>
      <c r="M179" t="s">
        <v>379</v>
      </c>
      <c r="N179" s="4">
        <v>45709</v>
      </c>
      <c r="U179" t="s">
        <v>50</v>
      </c>
      <c r="AA179" t="s">
        <v>255</v>
      </c>
      <c r="AD179" t="s">
        <v>495</v>
      </c>
      <c r="AE179" t="s">
        <v>44</v>
      </c>
      <c r="AG179" s="2">
        <v>45722</v>
      </c>
      <c r="AJ179" s="2">
        <v>45709</v>
      </c>
      <c r="AK179" s="4">
        <v>45720</v>
      </c>
      <c r="AL179" t="s">
        <v>389</v>
      </c>
      <c r="AM179" t="s">
        <v>163</v>
      </c>
      <c r="AN179">
        <v>11</v>
      </c>
      <c r="AO179">
        <v>13</v>
      </c>
      <c r="AQ179">
        <f t="shared" si="4"/>
        <v>13</v>
      </c>
      <c r="AR179">
        <f t="shared" si="5"/>
        <v>2025</v>
      </c>
    </row>
    <row r="180" spans="2:44" x14ac:dyDescent="0.25">
      <c r="B180" t="s">
        <v>496</v>
      </c>
      <c r="C180" t="s">
        <v>264</v>
      </c>
      <c r="E180" t="s">
        <v>44</v>
      </c>
      <c r="F180" t="s">
        <v>158</v>
      </c>
      <c r="H180" t="s">
        <v>56</v>
      </c>
      <c r="L180" t="s">
        <v>59</v>
      </c>
      <c r="M180" t="s">
        <v>379</v>
      </c>
      <c r="N180" s="4">
        <v>45712</v>
      </c>
      <c r="U180" t="s">
        <v>50</v>
      </c>
      <c r="AA180" t="s">
        <v>149</v>
      </c>
      <c r="AD180" t="s">
        <v>497</v>
      </c>
      <c r="AE180" t="s">
        <v>44</v>
      </c>
      <c r="AG180" s="2">
        <v>45729</v>
      </c>
      <c r="AJ180" s="2">
        <v>45720</v>
      </c>
      <c r="AK180" s="4">
        <v>45728</v>
      </c>
      <c r="AL180" t="s">
        <v>389</v>
      </c>
      <c r="AM180" t="s">
        <v>163</v>
      </c>
      <c r="AN180">
        <v>8</v>
      </c>
      <c r="AO180">
        <v>17</v>
      </c>
      <c r="AQ180">
        <f t="shared" si="4"/>
        <v>17</v>
      </c>
      <c r="AR180">
        <f t="shared" si="5"/>
        <v>2025</v>
      </c>
    </row>
    <row r="181" spans="2:44" x14ac:dyDescent="0.25">
      <c r="B181" t="s">
        <v>498</v>
      </c>
      <c r="C181" t="s">
        <v>43</v>
      </c>
      <c r="E181" t="s">
        <v>44</v>
      </c>
      <c r="F181" t="s">
        <v>45</v>
      </c>
      <c r="H181" t="s">
        <v>56</v>
      </c>
      <c r="L181" t="s">
        <v>59</v>
      </c>
      <c r="M181" t="s">
        <v>379</v>
      </c>
      <c r="N181" s="4">
        <v>45719</v>
      </c>
      <c r="U181" t="s">
        <v>50</v>
      </c>
      <c r="AA181" t="s">
        <v>255</v>
      </c>
      <c r="AD181" t="s">
        <v>499</v>
      </c>
      <c r="AE181" t="s">
        <v>44</v>
      </c>
      <c r="AG181" s="2">
        <v>45763</v>
      </c>
      <c r="AJ181" s="2">
        <v>45719</v>
      </c>
      <c r="AK181" s="4">
        <v>45727</v>
      </c>
      <c r="AL181" t="s">
        <v>62</v>
      </c>
      <c r="AM181" t="s">
        <v>163</v>
      </c>
      <c r="AN181">
        <v>8</v>
      </c>
      <c r="AO181">
        <v>44</v>
      </c>
      <c r="AQ181">
        <f t="shared" si="4"/>
        <v>44</v>
      </c>
      <c r="AR181">
        <f t="shared" si="5"/>
        <v>2025</v>
      </c>
    </row>
    <row r="182" spans="2:44" x14ac:dyDescent="0.25">
      <c r="B182" t="s">
        <v>500</v>
      </c>
      <c r="C182" t="s">
        <v>43</v>
      </c>
      <c r="E182" t="s">
        <v>44</v>
      </c>
      <c r="F182" t="s">
        <v>45</v>
      </c>
      <c r="H182" t="s">
        <v>47</v>
      </c>
      <c r="I182" t="s">
        <v>501</v>
      </c>
      <c r="K182" t="s">
        <v>44</v>
      </c>
      <c r="L182" t="s">
        <v>59</v>
      </c>
      <c r="M182" t="s">
        <v>379</v>
      </c>
      <c r="N182" s="4">
        <v>45707</v>
      </c>
      <c r="U182" t="s">
        <v>114</v>
      </c>
      <c r="AA182" t="s">
        <v>255</v>
      </c>
      <c r="AD182" t="s">
        <v>502</v>
      </c>
      <c r="AE182" t="s">
        <v>44</v>
      </c>
      <c r="AJ182" s="2">
        <v>45707</v>
      </c>
      <c r="AL182" t="s">
        <v>162</v>
      </c>
      <c r="AM182" t="s">
        <v>163</v>
      </c>
      <c r="AN182">
        <v>0</v>
      </c>
      <c r="AO182">
        <v>314</v>
      </c>
      <c r="AQ182" t="str">
        <f t="shared" si="4"/>
        <v/>
      </c>
      <c r="AR182">
        <f t="shared" si="5"/>
        <v>2025</v>
      </c>
    </row>
    <row r="183" spans="2:44" x14ac:dyDescent="0.25">
      <c r="B183" t="s">
        <v>496</v>
      </c>
      <c r="C183" t="s">
        <v>43</v>
      </c>
      <c r="E183" t="s">
        <v>44</v>
      </c>
      <c r="F183" t="s">
        <v>45</v>
      </c>
      <c r="H183" t="s">
        <v>492</v>
      </c>
      <c r="L183" t="s">
        <v>59</v>
      </c>
      <c r="M183" t="s">
        <v>379</v>
      </c>
      <c r="N183" s="4">
        <v>45712</v>
      </c>
      <c r="U183" t="s">
        <v>50</v>
      </c>
      <c r="AA183" t="s">
        <v>149</v>
      </c>
      <c r="AD183" t="s">
        <v>503</v>
      </c>
      <c r="AE183" t="s">
        <v>44</v>
      </c>
      <c r="AJ183" s="2">
        <v>45709</v>
      </c>
      <c r="AK183" s="4">
        <v>45729</v>
      </c>
      <c r="AL183" t="s">
        <v>162</v>
      </c>
      <c r="AM183" t="s">
        <v>163</v>
      </c>
      <c r="AN183">
        <v>20</v>
      </c>
      <c r="AO183">
        <v>-45712</v>
      </c>
      <c r="AP183" t="s">
        <v>156</v>
      </c>
      <c r="AQ183" t="str">
        <f t="shared" si="4"/>
        <v/>
      </c>
      <c r="AR183">
        <f t="shared" si="5"/>
        <v>2025</v>
      </c>
    </row>
    <row r="184" spans="2:44" x14ac:dyDescent="0.25">
      <c r="B184" t="s">
        <v>157</v>
      </c>
      <c r="C184" t="s">
        <v>139</v>
      </c>
      <c r="E184" t="s">
        <v>44</v>
      </c>
      <c r="F184" t="s">
        <v>45</v>
      </c>
      <c r="H184" t="s">
        <v>47</v>
      </c>
      <c r="I184" t="s">
        <v>504</v>
      </c>
      <c r="K184" t="s">
        <v>44</v>
      </c>
      <c r="L184" t="s">
        <v>59</v>
      </c>
      <c r="M184" t="s">
        <v>379</v>
      </c>
      <c r="N184" s="4">
        <v>45684</v>
      </c>
      <c r="U184" t="s">
        <v>50</v>
      </c>
      <c r="AA184" t="s">
        <v>255</v>
      </c>
      <c r="AD184" t="s">
        <v>505</v>
      </c>
      <c r="AE184" t="s">
        <v>44</v>
      </c>
      <c r="AG184" s="2">
        <v>45723</v>
      </c>
      <c r="AJ184" s="2">
        <v>45684</v>
      </c>
      <c r="AK184" s="4">
        <v>45705</v>
      </c>
      <c r="AL184" t="s">
        <v>162</v>
      </c>
      <c r="AM184" t="s">
        <v>163</v>
      </c>
      <c r="AN184">
        <v>21</v>
      </c>
      <c r="AO184">
        <v>39</v>
      </c>
      <c r="AQ184">
        <f t="shared" si="4"/>
        <v>39</v>
      </c>
      <c r="AR184">
        <f t="shared" si="5"/>
        <v>2025</v>
      </c>
    </row>
    <row r="185" spans="2:44" x14ac:dyDescent="0.25">
      <c r="B185" t="s">
        <v>506</v>
      </c>
      <c r="C185" t="s">
        <v>43</v>
      </c>
      <c r="E185" t="s">
        <v>44</v>
      </c>
      <c r="F185" t="s">
        <v>45</v>
      </c>
      <c r="H185" t="s">
        <v>507</v>
      </c>
      <c r="K185" t="s">
        <v>508</v>
      </c>
      <c r="L185" t="s">
        <v>59</v>
      </c>
      <c r="M185" t="s">
        <v>509</v>
      </c>
      <c r="N185" s="4">
        <v>45712</v>
      </c>
      <c r="U185" t="s">
        <v>50</v>
      </c>
      <c r="AA185" t="s">
        <v>255</v>
      </c>
      <c r="AD185" t="s">
        <v>510</v>
      </c>
      <c r="AE185" t="s">
        <v>44</v>
      </c>
      <c r="AG185" s="2">
        <v>45754</v>
      </c>
      <c r="AJ185" s="2">
        <v>45712</v>
      </c>
      <c r="AK185" s="4">
        <v>45721</v>
      </c>
      <c r="AL185" t="s">
        <v>357</v>
      </c>
      <c r="AM185" t="s">
        <v>163</v>
      </c>
      <c r="AN185">
        <v>9</v>
      </c>
      <c r="AO185">
        <v>42</v>
      </c>
      <c r="AQ185">
        <f t="shared" si="4"/>
        <v>42</v>
      </c>
      <c r="AR185">
        <f t="shared" si="5"/>
        <v>2025</v>
      </c>
    </row>
    <row r="186" spans="2:44" x14ac:dyDescent="0.25">
      <c r="B186" t="s">
        <v>511</v>
      </c>
      <c r="C186" t="s">
        <v>43</v>
      </c>
      <c r="E186" t="s">
        <v>44</v>
      </c>
      <c r="F186" t="s">
        <v>45</v>
      </c>
      <c r="H186" t="s">
        <v>507</v>
      </c>
      <c r="K186" t="s">
        <v>508</v>
      </c>
      <c r="L186" t="s">
        <v>59</v>
      </c>
      <c r="M186" t="s">
        <v>509</v>
      </c>
      <c r="N186" s="4">
        <v>45712</v>
      </c>
      <c r="U186" t="s">
        <v>50</v>
      </c>
      <c r="AA186" t="s">
        <v>255</v>
      </c>
      <c r="AD186" t="s">
        <v>512</v>
      </c>
      <c r="AE186" t="s">
        <v>44</v>
      </c>
      <c r="AG186" s="2">
        <v>45778</v>
      </c>
      <c r="AJ186" s="2">
        <v>45712</v>
      </c>
      <c r="AK186" s="4">
        <v>45715</v>
      </c>
      <c r="AL186" t="s">
        <v>357</v>
      </c>
      <c r="AM186" t="s">
        <v>163</v>
      </c>
      <c r="AN186">
        <v>3</v>
      </c>
      <c r="AO186">
        <v>66</v>
      </c>
      <c r="AQ186">
        <f t="shared" si="4"/>
        <v>66</v>
      </c>
      <c r="AR186">
        <f t="shared" si="5"/>
        <v>2025</v>
      </c>
    </row>
    <row r="187" spans="2:44" x14ac:dyDescent="0.25">
      <c r="B187" t="s">
        <v>513</v>
      </c>
      <c r="C187" t="s">
        <v>43</v>
      </c>
      <c r="E187" t="s">
        <v>44</v>
      </c>
      <c r="F187" t="s">
        <v>45</v>
      </c>
      <c r="H187" t="s">
        <v>507</v>
      </c>
      <c r="K187" t="s">
        <v>508</v>
      </c>
      <c r="L187" t="s">
        <v>59</v>
      </c>
      <c r="M187" t="s">
        <v>509</v>
      </c>
      <c r="N187" s="4">
        <v>45712</v>
      </c>
      <c r="U187" t="s">
        <v>50</v>
      </c>
      <c r="AA187" t="s">
        <v>255</v>
      </c>
      <c r="AD187" t="s">
        <v>514</v>
      </c>
      <c r="AE187" t="s">
        <v>44</v>
      </c>
      <c r="AG187" s="2">
        <v>45754</v>
      </c>
      <c r="AJ187" s="2">
        <v>45712</v>
      </c>
      <c r="AK187" s="4">
        <v>45723</v>
      </c>
      <c r="AL187" t="s">
        <v>357</v>
      </c>
      <c r="AM187" t="s">
        <v>163</v>
      </c>
      <c r="AN187">
        <v>11</v>
      </c>
      <c r="AO187">
        <v>42</v>
      </c>
      <c r="AQ187">
        <f t="shared" si="4"/>
        <v>42</v>
      </c>
      <c r="AR187">
        <f t="shared" si="5"/>
        <v>2025</v>
      </c>
    </row>
    <row r="188" spans="2:44" x14ac:dyDescent="0.25">
      <c r="B188" t="s">
        <v>515</v>
      </c>
      <c r="C188" t="s">
        <v>43</v>
      </c>
      <c r="E188" t="s">
        <v>44</v>
      </c>
      <c r="F188" t="s">
        <v>45</v>
      </c>
      <c r="H188" t="s">
        <v>47</v>
      </c>
      <c r="K188" t="s">
        <v>508</v>
      </c>
      <c r="L188" t="s">
        <v>516</v>
      </c>
      <c r="M188" t="s">
        <v>517</v>
      </c>
      <c r="N188" s="4">
        <v>45686</v>
      </c>
      <c r="U188" t="s">
        <v>50</v>
      </c>
      <c r="AA188" t="s">
        <v>255</v>
      </c>
      <c r="AD188" t="s">
        <v>518</v>
      </c>
      <c r="AG188" s="2">
        <v>45691</v>
      </c>
      <c r="AJ188" s="2">
        <v>45686</v>
      </c>
      <c r="AK188" s="4">
        <v>45719</v>
      </c>
      <c r="AM188" t="s">
        <v>519</v>
      </c>
      <c r="AN188">
        <v>33</v>
      </c>
      <c r="AO188">
        <v>5</v>
      </c>
      <c r="AQ188">
        <f t="shared" si="4"/>
        <v>5</v>
      </c>
      <c r="AR188">
        <f t="shared" si="5"/>
        <v>2025</v>
      </c>
    </row>
    <row r="189" spans="2:44" x14ac:dyDescent="0.25">
      <c r="B189" t="s">
        <v>228</v>
      </c>
      <c r="C189" t="s">
        <v>43</v>
      </c>
      <c r="E189" t="s">
        <v>44</v>
      </c>
      <c r="F189" t="s">
        <v>45</v>
      </c>
      <c r="H189" t="s">
        <v>47</v>
      </c>
      <c r="K189" t="s">
        <v>508</v>
      </c>
      <c r="L189" t="s">
        <v>516</v>
      </c>
      <c r="M189" t="s">
        <v>517</v>
      </c>
      <c r="N189" s="4">
        <v>45686</v>
      </c>
      <c r="U189" t="s">
        <v>50</v>
      </c>
      <c r="AA189" t="s">
        <v>255</v>
      </c>
      <c r="AD189" t="s">
        <v>520</v>
      </c>
      <c r="AG189" s="2">
        <v>45694</v>
      </c>
      <c r="AJ189" s="2">
        <v>45686</v>
      </c>
      <c r="AK189" s="4">
        <v>45701</v>
      </c>
      <c r="AN189">
        <v>15</v>
      </c>
      <c r="AO189">
        <v>8</v>
      </c>
      <c r="AQ189">
        <f t="shared" si="4"/>
        <v>8</v>
      </c>
      <c r="AR189">
        <f t="shared" si="5"/>
        <v>2025</v>
      </c>
    </row>
    <row r="190" spans="2:44" x14ac:dyDescent="0.25">
      <c r="B190" t="s">
        <v>521</v>
      </c>
      <c r="C190" t="s">
        <v>43</v>
      </c>
      <c r="E190" t="s">
        <v>197</v>
      </c>
      <c r="F190" t="s">
        <v>522</v>
      </c>
      <c r="H190" t="s">
        <v>523</v>
      </c>
      <c r="J190" t="s">
        <v>524</v>
      </c>
      <c r="K190" t="s">
        <v>315</v>
      </c>
      <c r="L190" t="s">
        <v>211</v>
      </c>
      <c r="M190" t="s">
        <v>367</v>
      </c>
      <c r="N190" s="4">
        <v>45681</v>
      </c>
      <c r="U190" t="s">
        <v>50</v>
      </c>
      <c r="AA190" t="s">
        <v>255</v>
      </c>
      <c r="AD190" t="s">
        <v>525</v>
      </c>
      <c r="AE190" t="s">
        <v>197</v>
      </c>
      <c r="AG190" s="2">
        <v>45719</v>
      </c>
      <c r="AJ190" s="2">
        <v>45681</v>
      </c>
      <c r="AK190" s="4">
        <v>45687</v>
      </c>
      <c r="AL190" t="s">
        <v>526</v>
      </c>
      <c r="AM190" t="s">
        <v>519</v>
      </c>
      <c r="AN190">
        <v>6</v>
      </c>
      <c r="AO190">
        <v>38</v>
      </c>
      <c r="AQ190">
        <f t="shared" si="4"/>
        <v>38</v>
      </c>
      <c r="AR190">
        <f t="shared" si="5"/>
        <v>2025</v>
      </c>
    </row>
    <row r="191" spans="2:44" x14ac:dyDescent="0.25">
      <c r="B191" t="s">
        <v>527</v>
      </c>
      <c r="C191" t="s">
        <v>43</v>
      </c>
      <c r="E191" t="s">
        <v>44</v>
      </c>
      <c r="F191" t="s">
        <v>45</v>
      </c>
      <c r="H191" t="s">
        <v>47</v>
      </c>
      <c r="K191" t="s">
        <v>44</v>
      </c>
      <c r="L191" t="s">
        <v>516</v>
      </c>
      <c r="M191" t="s">
        <v>517</v>
      </c>
      <c r="N191" s="4">
        <v>45692</v>
      </c>
      <c r="U191" t="s">
        <v>50</v>
      </c>
      <c r="AA191" t="s">
        <v>255</v>
      </c>
      <c r="AD191" t="s">
        <v>528</v>
      </c>
      <c r="AE191" t="s">
        <v>282</v>
      </c>
      <c r="AG191" s="2">
        <v>45705</v>
      </c>
      <c r="AJ191" s="2">
        <v>45692</v>
      </c>
      <c r="AK191" s="4">
        <v>45694</v>
      </c>
      <c r="AM191" t="s">
        <v>519</v>
      </c>
      <c r="AN191">
        <v>2</v>
      </c>
      <c r="AO191">
        <v>13</v>
      </c>
      <c r="AQ191">
        <f t="shared" si="4"/>
        <v>13</v>
      </c>
      <c r="AR191">
        <f t="shared" si="5"/>
        <v>2025</v>
      </c>
    </row>
    <row r="192" spans="2:44" x14ac:dyDescent="0.25">
      <c r="B192" t="s">
        <v>527</v>
      </c>
      <c r="C192" t="s">
        <v>43</v>
      </c>
      <c r="E192" t="s">
        <v>44</v>
      </c>
      <c r="F192" t="s">
        <v>45</v>
      </c>
      <c r="H192" t="s">
        <v>47</v>
      </c>
      <c r="K192" t="s">
        <v>44</v>
      </c>
      <c r="L192" t="s">
        <v>516</v>
      </c>
      <c r="M192" t="s">
        <v>517</v>
      </c>
      <c r="N192" s="4">
        <v>45695</v>
      </c>
      <c r="U192" t="s">
        <v>50</v>
      </c>
      <c r="AA192" t="s">
        <v>255</v>
      </c>
      <c r="AD192" t="s">
        <v>529</v>
      </c>
      <c r="AE192" t="s">
        <v>282</v>
      </c>
      <c r="AG192" s="2">
        <v>45699</v>
      </c>
      <c r="AJ192" s="2">
        <v>45695</v>
      </c>
      <c r="AK192" s="4">
        <v>45698</v>
      </c>
      <c r="AM192" t="s">
        <v>519</v>
      </c>
      <c r="AN192">
        <v>3</v>
      </c>
      <c r="AO192">
        <v>4</v>
      </c>
      <c r="AQ192">
        <f t="shared" si="4"/>
        <v>4</v>
      </c>
      <c r="AR192">
        <f t="shared" si="5"/>
        <v>2025</v>
      </c>
    </row>
    <row r="193" spans="2:44" x14ac:dyDescent="0.25">
      <c r="B193" t="s">
        <v>530</v>
      </c>
      <c r="C193" t="s">
        <v>43</v>
      </c>
      <c r="E193" t="s">
        <v>44</v>
      </c>
      <c r="F193" t="s">
        <v>45</v>
      </c>
      <c r="H193" t="s">
        <v>47</v>
      </c>
      <c r="K193" t="s">
        <v>44</v>
      </c>
      <c r="L193" t="s">
        <v>516</v>
      </c>
      <c r="M193" t="s">
        <v>517</v>
      </c>
      <c r="N193" s="4">
        <v>45702</v>
      </c>
      <c r="U193" t="s">
        <v>50</v>
      </c>
      <c r="AA193" t="s">
        <v>255</v>
      </c>
      <c r="AD193" t="s">
        <v>531</v>
      </c>
      <c r="AE193" t="s">
        <v>282</v>
      </c>
      <c r="AG193" s="2">
        <v>45706</v>
      </c>
      <c r="AJ193" s="2">
        <v>45702</v>
      </c>
      <c r="AK193" s="4">
        <v>45705</v>
      </c>
      <c r="AM193" t="s">
        <v>519</v>
      </c>
      <c r="AN193">
        <v>3</v>
      </c>
      <c r="AO193">
        <v>4</v>
      </c>
      <c r="AQ193">
        <f t="shared" si="4"/>
        <v>4</v>
      </c>
      <c r="AR193">
        <f t="shared" si="5"/>
        <v>2025</v>
      </c>
    </row>
    <row r="194" spans="2:44" x14ac:dyDescent="0.25">
      <c r="B194" t="s">
        <v>241</v>
      </c>
      <c r="C194" t="s">
        <v>43</v>
      </c>
      <c r="E194" t="s">
        <v>44</v>
      </c>
      <c r="F194" t="s">
        <v>45</v>
      </c>
      <c r="H194" t="s">
        <v>47</v>
      </c>
      <c r="K194" t="s">
        <v>44</v>
      </c>
      <c r="L194" t="s">
        <v>516</v>
      </c>
      <c r="M194" t="s">
        <v>517</v>
      </c>
      <c r="N194" s="4">
        <v>45712</v>
      </c>
      <c r="U194" t="s">
        <v>50</v>
      </c>
      <c r="AA194" t="s">
        <v>255</v>
      </c>
      <c r="AD194" t="s">
        <v>532</v>
      </c>
      <c r="AE194" t="s">
        <v>282</v>
      </c>
      <c r="AG194" s="2">
        <v>45712</v>
      </c>
      <c r="AJ194" s="2">
        <v>45712</v>
      </c>
      <c r="AK194" s="4">
        <v>45712</v>
      </c>
      <c r="AL194" t="s">
        <v>533</v>
      </c>
      <c r="AM194" t="s">
        <v>519</v>
      </c>
      <c r="AN194">
        <v>0</v>
      </c>
      <c r="AO194">
        <v>0</v>
      </c>
      <c r="AQ194">
        <f t="shared" si="4"/>
        <v>0</v>
      </c>
      <c r="AR194">
        <f t="shared" si="5"/>
        <v>2025</v>
      </c>
    </row>
    <row r="195" spans="2:44" x14ac:dyDescent="0.25">
      <c r="B195" t="s">
        <v>143</v>
      </c>
      <c r="C195" t="s">
        <v>128</v>
      </c>
      <c r="E195" t="s">
        <v>44</v>
      </c>
      <c r="F195" t="s">
        <v>45</v>
      </c>
      <c r="H195" t="s">
        <v>47</v>
      </c>
      <c r="K195" t="s">
        <v>44</v>
      </c>
      <c r="L195" t="s">
        <v>516</v>
      </c>
      <c r="M195" t="s">
        <v>517</v>
      </c>
      <c r="N195" s="4">
        <v>45719</v>
      </c>
      <c r="U195" t="s">
        <v>50</v>
      </c>
      <c r="AA195" t="s">
        <v>255</v>
      </c>
      <c r="AD195" t="s">
        <v>534</v>
      </c>
      <c r="AE195" t="s">
        <v>282</v>
      </c>
      <c r="AG195" s="2">
        <v>45719</v>
      </c>
      <c r="AJ195" s="2">
        <v>45719</v>
      </c>
      <c r="AK195" s="4">
        <v>45722</v>
      </c>
      <c r="AL195" t="s">
        <v>535</v>
      </c>
      <c r="AM195" t="s">
        <v>519</v>
      </c>
      <c r="AN195">
        <v>3</v>
      </c>
      <c r="AO195">
        <v>0</v>
      </c>
      <c r="AQ195">
        <f t="shared" ref="AQ195:AQ258" si="6">IF(AND(AO195&gt;=0,AO195&lt;=300),AO195,"")</f>
        <v>0</v>
      </c>
      <c r="AR195">
        <f t="shared" ref="AR195:AR258" si="7">YEAR(N195)</f>
        <v>2025</v>
      </c>
    </row>
    <row r="196" spans="2:44" x14ac:dyDescent="0.25">
      <c r="B196" t="s">
        <v>74</v>
      </c>
      <c r="C196" t="s">
        <v>128</v>
      </c>
      <c r="E196" t="s">
        <v>282</v>
      </c>
      <c r="F196" t="s">
        <v>45</v>
      </c>
      <c r="H196" t="s">
        <v>523</v>
      </c>
      <c r="K196" t="s">
        <v>282</v>
      </c>
      <c r="L196" t="s">
        <v>516</v>
      </c>
      <c r="M196" t="s">
        <v>98</v>
      </c>
      <c r="N196" s="4">
        <v>45712</v>
      </c>
      <c r="U196" t="s">
        <v>50</v>
      </c>
      <c r="AA196" t="s">
        <v>255</v>
      </c>
      <c r="AD196" t="s">
        <v>536</v>
      </c>
      <c r="AE196" t="s">
        <v>282</v>
      </c>
      <c r="AG196" s="2">
        <v>45719</v>
      </c>
      <c r="AJ196" s="2">
        <v>45712</v>
      </c>
      <c r="AK196" s="4">
        <v>45721</v>
      </c>
      <c r="AL196" t="s">
        <v>537</v>
      </c>
      <c r="AM196" t="s">
        <v>519</v>
      </c>
      <c r="AN196">
        <v>9</v>
      </c>
      <c r="AO196">
        <v>7</v>
      </c>
      <c r="AQ196">
        <f t="shared" si="6"/>
        <v>7</v>
      </c>
      <c r="AR196">
        <f t="shared" si="7"/>
        <v>2025</v>
      </c>
    </row>
    <row r="197" spans="2:44" x14ac:dyDescent="0.25">
      <c r="B197" t="s">
        <v>275</v>
      </c>
      <c r="C197" t="s">
        <v>128</v>
      </c>
      <c r="E197" t="s">
        <v>44</v>
      </c>
      <c r="F197" t="s">
        <v>45</v>
      </c>
      <c r="H197" t="s">
        <v>47</v>
      </c>
      <c r="K197" t="s">
        <v>44</v>
      </c>
      <c r="L197" t="s">
        <v>516</v>
      </c>
      <c r="M197" t="s">
        <v>517</v>
      </c>
      <c r="N197" s="4">
        <v>45719</v>
      </c>
      <c r="U197" t="s">
        <v>50</v>
      </c>
      <c r="AA197" t="s">
        <v>255</v>
      </c>
      <c r="AD197" t="s">
        <v>538</v>
      </c>
      <c r="AE197" t="s">
        <v>282</v>
      </c>
      <c r="AG197" s="2">
        <v>45719</v>
      </c>
      <c r="AJ197" s="2">
        <v>45719</v>
      </c>
      <c r="AK197" s="4">
        <v>45721</v>
      </c>
      <c r="AL197" t="s">
        <v>539</v>
      </c>
      <c r="AM197" t="s">
        <v>519</v>
      </c>
      <c r="AN197">
        <v>2</v>
      </c>
      <c r="AO197">
        <v>0</v>
      </c>
      <c r="AQ197">
        <f t="shared" si="6"/>
        <v>0</v>
      </c>
      <c r="AR197">
        <f t="shared" si="7"/>
        <v>2025</v>
      </c>
    </row>
    <row r="198" spans="2:44" x14ac:dyDescent="0.25">
      <c r="B198" t="s">
        <v>540</v>
      </c>
      <c r="C198" t="s">
        <v>128</v>
      </c>
      <c r="E198" t="s">
        <v>44</v>
      </c>
      <c r="F198" t="s">
        <v>45</v>
      </c>
      <c r="H198" t="s">
        <v>47</v>
      </c>
      <c r="K198" t="s">
        <v>44</v>
      </c>
      <c r="L198" t="s">
        <v>516</v>
      </c>
      <c r="M198" t="s">
        <v>517</v>
      </c>
      <c r="N198" s="4">
        <v>45719</v>
      </c>
      <c r="U198" t="s">
        <v>50</v>
      </c>
      <c r="AA198" t="s">
        <v>255</v>
      </c>
      <c r="AD198" t="s">
        <v>541</v>
      </c>
      <c r="AE198" t="s">
        <v>282</v>
      </c>
      <c r="AG198" s="2">
        <v>45719</v>
      </c>
      <c r="AJ198" s="2">
        <v>45719</v>
      </c>
      <c r="AK198" s="4">
        <v>45728</v>
      </c>
      <c r="AL198" t="s">
        <v>539</v>
      </c>
      <c r="AM198" t="s">
        <v>519</v>
      </c>
      <c r="AN198">
        <v>9</v>
      </c>
      <c r="AO198">
        <v>0</v>
      </c>
      <c r="AQ198">
        <f t="shared" si="6"/>
        <v>0</v>
      </c>
      <c r="AR198">
        <f t="shared" si="7"/>
        <v>2025</v>
      </c>
    </row>
    <row r="199" spans="2:44" x14ac:dyDescent="0.25">
      <c r="B199" t="s">
        <v>542</v>
      </c>
      <c r="C199" t="s">
        <v>43</v>
      </c>
      <c r="E199" t="s">
        <v>44</v>
      </c>
      <c r="F199" t="s">
        <v>158</v>
      </c>
      <c r="H199" t="s">
        <v>47</v>
      </c>
      <c r="K199" t="s">
        <v>44</v>
      </c>
      <c r="L199" t="s">
        <v>211</v>
      </c>
      <c r="M199" t="s">
        <v>58</v>
      </c>
      <c r="N199" s="4">
        <v>45726</v>
      </c>
      <c r="U199" t="s">
        <v>50</v>
      </c>
      <c r="AA199" t="s">
        <v>255</v>
      </c>
      <c r="AD199" t="s">
        <v>543</v>
      </c>
      <c r="AE199" t="s">
        <v>544</v>
      </c>
      <c r="AG199" s="2">
        <v>45734</v>
      </c>
      <c r="AJ199" s="2">
        <v>45726</v>
      </c>
      <c r="AK199" s="4">
        <v>45733</v>
      </c>
      <c r="AL199" t="s">
        <v>369</v>
      </c>
      <c r="AM199" t="s">
        <v>519</v>
      </c>
      <c r="AN199">
        <v>7</v>
      </c>
      <c r="AO199">
        <v>8</v>
      </c>
      <c r="AQ199">
        <f t="shared" si="6"/>
        <v>8</v>
      </c>
      <c r="AR199">
        <f t="shared" si="7"/>
        <v>2025</v>
      </c>
    </row>
    <row r="200" spans="2:44" x14ac:dyDescent="0.25">
      <c r="B200" t="s">
        <v>275</v>
      </c>
      <c r="C200" t="s">
        <v>128</v>
      </c>
      <c r="E200" t="s">
        <v>44</v>
      </c>
      <c r="F200" t="s">
        <v>45</v>
      </c>
      <c r="H200" t="s">
        <v>350</v>
      </c>
      <c r="K200" t="s">
        <v>44</v>
      </c>
      <c r="L200" t="s">
        <v>516</v>
      </c>
      <c r="M200" t="s">
        <v>517</v>
      </c>
      <c r="N200" s="4">
        <v>45734</v>
      </c>
      <c r="U200" t="s">
        <v>50</v>
      </c>
      <c r="AA200" t="s">
        <v>255</v>
      </c>
      <c r="AD200" t="s">
        <v>545</v>
      </c>
      <c r="AE200" t="s">
        <v>282</v>
      </c>
      <c r="AG200" s="2">
        <v>45730</v>
      </c>
      <c r="AJ200" s="2">
        <v>45734</v>
      </c>
      <c r="AK200" s="4">
        <v>45737</v>
      </c>
      <c r="AL200" t="s">
        <v>539</v>
      </c>
      <c r="AM200" t="s">
        <v>519</v>
      </c>
      <c r="AN200">
        <v>3</v>
      </c>
      <c r="AO200">
        <v>-4</v>
      </c>
      <c r="AQ200" t="str">
        <f t="shared" si="6"/>
        <v/>
      </c>
      <c r="AR200">
        <f t="shared" si="7"/>
        <v>2025</v>
      </c>
    </row>
    <row r="201" spans="2:44" x14ac:dyDescent="0.25">
      <c r="B201" t="s">
        <v>143</v>
      </c>
      <c r="C201" t="s">
        <v>43</v>
      </c>
      <c r="E201" t="s">
        <v>44</v>
      </c>
      <c r="F201" t="s">
        <v>45</v>
      </c>
      <c r="H201" t="s">
        <v>350</v>
      </c>
      <c r="K201" t="s">
        <v>44</v>
      </c>
      <c r="L201" t="s">
        <v>516</v>
      </c>
      <c r="M201" t="s">
        <v>517</v>
      </c>
      <c r="N201" s="4">
        <v>45735</v>
      </c>
      <c r="U201" t="s">
        <v>50</v>
      </c>
      <c r="AA201" t="s">
        <v>255</v>
      </c>
      <c r="AD201" t="s">
        <v>546</v>
      </c>
      <c r="AE201" t="s">
        <v>282</v>
      </c>
      <c r="AG201" s="2">
        <v>45750</v>
      </c>
      <c r="AJ201" s="2">
        <v>45735</v>
      </c>
      <c r="AK201" s="4">
        <v>45737</v>
      </c>
      <c r="AL201" t="s">
        <v>547</v>
      </c>
      <c r="AM201" t="s">
        <v>519</v>
      </c>
      <c r="AN201">
        <v>2</v>
      </c>
      <c r="AO201">
        <v>15</v>
      </c>
      <c r="AQ201">
        <f t="shared" si="6"/>
        <v>15</v>
      </c>
      <c r="AR201">
        <f t="shared" si="7"/>
        <v>2025</v>
      </c>
    </row>
    <row r="202" spans="2:44" x14ac:dyDescent="0.25">
      <c r="B202" t="s">
        <v>548</v>
      </c>
      <c r="C202" t="s">
        <v>43</v>
      </c>
      <c r="E202" t="s">
        <v>549</v>
      </c>
      <c r="K202" t="s">
        <v>549</v>
      </c>
      <c r="L202" t="s">
        <v>550</v>
      </c>
      <c r="M202" t="s">
        <v>415</v>
      </c>
      <c r="N202" s="4">
        <v>45720</v>
      </c>
      <c r="U202" t="s">
        <v>50</v>
      </c>
      <c r="AA202" t="s">
        <v>51</v>
      </c>
      <c r="AD202" t="s">
        <v>551</v>
      </c>
      <c r="AE202" t="s">
        <v>315</v>
      </c>
      <c r="AG202" s="2">
        <v>45789</v>
      </c>
      <c r="AJ202" s="2">
        <v>45722</v>
      </c>
      <c r="AK202" s="4">
        <v>45752</v>
      </c>
      <c r="AL202" t="s">
        <v>552</v>
      </c>
      <c r="AM202" t="s">
        <v>553</v>
      </c>
      <c r="AN202">
        <v>30</v>
      </c>
      <c r="AO202">
        <v>69</v>
      </c>
      <c r="AQ202">
        <f t="shared" si="6"/>
        <v>69</v>
      </c>
      <c r="AR202">
        <f t="shared" si="7"/>
        <v>2025</v>
      </c>
    </row>
    <row r="203" spans="2:44" x14ac:dyDescent="0.25">
      <c r="B203" t="s">
        <v>454</v>
      </c>
      <c r="C203" t="s">
        <v>43</v>
      </c>
      <c r="E203" t="s">
        <v>44</v>
      </c>
      <c r="F203" t="s">
        <v>45</v>
      </c>
      <c r="H203" t="s">
        <v>350</v>
      </c>
      <c r="K203" t="s">
        <v>44</v>
      </c>
      <c r="L203" t="s">
        <v>516</v>
      </c>
      <c r="M203" t="s">
        <v>517</v>
      </c>
      <c r="N203" s="4">
        <v>45719</v>
      </c>
      <c r="U203" t="s">
        <v>50</v>
      </c>
      <c r="AA203" t="s">
        <v>255</v>
      </c>
      <c r="AD203" t="s">
        <v>554</v>
      </c>
      <c r="AE203" t="s">
        <v>282</v>
      </c>
      <c r="AG203" s="2">
        <v>45740</v>
      </c>
      <c r="AJ203" s="2">
        <v>45719</v>
      </c>
      <c r="AK203" s="4">
        <v>45719</v>
      </c>
      <c r="AL203" t="s">
        <v>555</v>
      </c>
      <c r="AM203" t="s">
        <v>519</v>
      </c>
      <c r="AN203">
        <v>0</v>
      </c>
      <c r="AO203">
        <v>21</v>
      </c>
      <c r="AQ203">
        <f t="shared" si="6"/>
        <v>21</v>
      </c>
      <c r="AR203">
        <f t="shared" si="7"/>
        <v>2025</v>
      </c>
    </row>
    <row r="204" spans="2:44" x14ac:dyDescent="0.25">
      <c r="B204" t="s">
        <v>556</v>
      </c>
      <c r="C204" t="s">
        <v>43</v>
      </c>
      <c r="E204" t="s">
        <v>549</v>
      </c>
      <c r="F204" t="s">
        <v>45</v>
      </c>
      <c r="K204" t="s">
        <v>197</v>
      </c>
      <c r="L204" t="s">
        <v>211</v>
      </c>
      <c r="M204" t="s">
        <v>557</v>
      </c>
      <c r="N204" s="4">
        <v>45694</v>
      </c>
      <c r="U204" t="s">
        <v>50</v>
      </c>
      <c r="AA204" t="s">
        <v>255</v>
      </c>
      <c r="AD204" t="s">
        <v>558</v>
      </c>
      <c r="AE204" t="s">
        <v>153</v>
      </c>
      <c r="AG204" s="2">
        <v>45748</v>
      </c>
      <c r="AJ204" s="2">
        <v>45694</v>
      </c>
      <c r="AK204" s="4">
        <v>45700</v>
      </c>
      <c r="AL204" t="s">
        <v>559</v>
      </c>
      <c r="AM204" t="s">
        <v>519</v>
      </c>
      <c r="AN204">
        <v>6</v>
      </c>
      <c r="AO204">
        <v>54</v>
      </c>
      <c r="AQ204">
        <f t="shared" si="6"/>
        <v>54</v>
      </c>
      <c r="AR204">
        <f t="shared" si="7"/>
        <v>2025</v>
      </c>
    </row>
    <row r="205" spans="2:44" x14ac:dyDescent="0.25">
      <c r="B205" t="s">
        <v>560</v>
      </c>
      <c r="C205" t="s">
        <v>43</v>
      </c>
      <c r="E205" t="s">
        <v>44</v>
      </c>
      <c r="F205" t="s">
        <v>45</v>
      </c>
      <c r="H205" t="s">
        <v>350</v>
      </c>
      <c r="L205" t="s">
        <v>516</v>
      </c>
      <c r="M205" t="s">
        <v>517</v>
      </c>
      <c r="AA205" t="s">
        <v>255</v>
      </c>
      <c r="AD205" t="s">
        <v>561</v>
      </c>
      <c r="AE205" t="s">
        <v>282</v>
      </c>
      <c r="AG205" s="2">
        <v>45754</v>
      </c>
      <c r="AJ205" s="2">
        <v>45721</v>
      </c>
      <c r="AM205" t="s">
        <v>519</v>
      </c>
      <c r="AN205">
        <v>0</v>
      </c>
      <c r="AO205" t="b">
        <v>0</v>
      </c>
      <c r="AQ205" t="str">
        <f t="shared" si="6"/>
        <v/>
      </c>
      <c r="AR205">
        <f t="shared" si="7"/>
        <v>1900</v>
      </c>
    </row>
    <row r="206" spans="2:44" x14ac:dyDescent="0.25">
      <c r="B206" t="s">
        <v>562</v>
      </c>
      <c r="C206" t="s">
        <v>43</v>
      </c>
      <c r="E206" t="s">
        <v>44</v>
      </c>
      <c r="F206" t="s">
        <v>45</v>
      </c>
      <c r="H206" t="s">
        <v>350</v>
      </c>
      <c r="L206" t="s">
        <v>516</v>
      </c>
      <c r="M206" t="s">
        <v>517</v>
      </c>
      <c r="AA206" t="s">
        <v>255</v>
      </c>
      <c r="AD206" t="s">
        <v>563</v>
      </c>
      <c r="AE206" t="s">
        <v>282</v>
      </c>
      <c r="AG206" s="2">
        <v>45754</v>
      </c>
      <c r="AJ206" s="2">
        <v>45744</v>
      </c>
      <c r="AM206" t="s">
        <v>519</v>
      </c>
      <c r="AN206">
        <v>0</v>
      </c>
      <c r="AO206" t="b">
        <v>0</v>
      </c>
      <c r="AQ206" t="str">
        <f t="shared" si="6"/>
        <v/>
      </c>
      <c r="AR206">
        <f t="shared" si="7"/>
        <v>1900</v>
      </c>
    </row>
    <row r="207" spans="2:44" x14ac:dyDescent="0.25">
      <c r="B207" t="s">
        <v>564</v>
      </c>
      <c r="E207" t="s">
        <v>44</v>
      </c>
      <c r="F207" t="s">
        <v>45</v>
      </c>
      <c r="H207" t="s">
        <v>350</v>
      </c>
      <c r="L207" t="s">
        <v>516</v>
      </c>
      <c r="M207" t="s">
        <v>517</v>
      </c>
      <c r="AA207" t="s">
        <v>255</v>
      </c>
      <c r="AD207" t="s">
        <v>240</v>
      </c>
      <c r="AE207" t="s">
        <v>282</v>
      </c>
      <c r="AG207" s="2">
        <v>45754</v>
      </c>
      <c r="AJ207" s="2">
        <v>45747</v>
      </c>
      <c r="AM207" t="s">
        <v>519</v>
      </c>
      <c r="AN207">
        <v>0</v>
      </c>
      <c r="AO207" t="b">
        <v>0</v>
      </c>
      <c r="AQ207" t="str">
        <f t="shared" si="6"/>
        <v/>
      </c>
      <c r="AR207">
        <f t="shared" si="7"/>
        <v>1900</v>
      </c>
    </row>
    <row r="208" spans="2:44" x14ac:dyDescent="0.25">
      <c r="B208" t="s">
        <v>565</v>
      </c>
      <c r="E208" t="s">
        <v>44</v>
      </c>
      <c r="F208" t="s">
        <v>45</v>
      </c>
      <c r="H208" t="s">
        <v>56</v>
      </c>
      <c r="L208" t="s">
        <v>516</v>
      </c>
      <c r="M208" t="s">
        <v>517</v>
      </c>
      <c r="AA208" t="s">
        <v>255</v>
      </c>
      <c r="AD208" t="s">
        <v>566</v>
      </c>
      <c r="AE208" t="s">
        <v>282</v>
      </c>
      <c r="AG208" s="2">
        <v>45748</v>
      </c>
      <c r="AM208" t="s">
        <v>519</v>
      </c>
      <c r="AN208">
        <v>0</v>
      </c>
      <c r="AO208" t="b">
        <v>0</v>
      </c>
      <c r="AQ208" t="str">
        <f t="shared" si="6"/>
        <v/>
      </c>
      <c r="AR208">
        <f t="shared" si="7"/>
        <v>1900</v>
      </c>
    </row>
    <row r="209" spans="2:44" x14ac:dyDescent="0.25">
      <c r="B209" t="s">
        <v>567</v>
      </c>
      <c r="E209" t="s">
        <v>568</v>
      </c>
      <c r="F209" t="s">
        <v>45</v>
      </c>
      <c r="H209" t="s">
        <v>350</v>
      </c>
      <c r="L209" t="s">
        <v>516</v>
      </c>
      <c r="M209" t="s">
        <v>517</v>
      </c>
      <c r="AA209" t="s">
        <v>255</v>
      </c>
      <c r="AD209" t="s">
        <v>569</v>
      </c>
      <c r="AE209" t="s">
        <v>282</v>
      </c>
      <c r="AG209" s="2">
        <v>45761</v>
      </c>
      <c r="AM209" t="s">
        <v>519</v>
      </c>
      <c r="AN209">
        <v>0</v>
      </c>
      <c r="AO209" t="b">
        <v>0</v>
      </c>
      <c r="AQ209" t="str">
        <f t="shared" si="6"/>
        <v/>
      </c>
      <c r="AR209">
        <f t="shared" si="7"/>
        <v>1900</v>
      </c>
    </row>
    <row r="210" spans="2:44" x14ac:dyDescent="0.25">
      <c r="B210" t="s">
        <v>570</v>
      </c>
      <c r="E210" t="s">
        <v>568</v>
      </c>
      <c r="F210" t="s">
        <v>45</v>
      </c>
      <c r="H210" t="s">
        <v>56</v>
      </c>
      <c r="L210" t="s">
        <v>516</v>
      </c>
      <c r="M210" t="s">
        <v>517</v>
      </c>
      <c r="AA210" t="s">
        <v>255</v>
      </c>
      <c r="AD210" t="s">
        <v>571</v>
      </c>
      <c r="AE210" t="s">
        <v>282</v>
      </c>
      <c r="AG210" s="2">
        <v>45754</v>
      </c>
      <c r="AJ210" s="2">
        <v>45735</v>
      </c>
      <c r="AM210" t="s">
        <v>519</v>
      </c>
      <c r="AN210">
        <v>0</v>
      </c>
      <c r="AO210" t="b">
        <v>0</v>
      </c>
      <c r="AQ210" t="str">
        <f t="shared" si="6"/>
        <v/>
      </c>
      <c r="AR210">
        <f t="shared" si="7"/>
        <v>1900</v>
      </c>
    </row>
    <row r="211" spans="2:44" x14ac:dyDescent="0.25">
      <c r="B211" t="s">
        <v>572</v>
      </c>
      <c r="C211" t="s">
        <v>43</v>
      </c>
      <c r="E211" t="s">
        <v>44</v>
      </c>
      <c r="F211" t="s">
        <v>45</v>
      </c>
      <c r="H211" t="s">
        <v>47</v>
      </c>
      <c r="I211" t="s">
        <v>551</v>
      </c>
      <c r="K211" t="s">
        <v>44</v>
      </c>
      <c r="L211" t="s">
        <v>573</v>
      </c>
      <c r="M211" t="s">
        <v>415</v>
      </c>
      <c r="N211" s="4">
        <v>45824</v>
      </c>
      <c r="U211" t="s">
        <v>50</v>
      </c>
      <c r="W211" t="s">
        <v>158</v>
      </c>
      <c r="Z211" t="s">
        <v>45</v>
      </c>
      <c r="AA211" t="s">
        <v>255</v>
      </c>
      <c r="AD211" t="s">
        <v>431</v>
      </c>
      <c r="AE211" t="s">
        <v>44</v>
      </c>
      <c r="AG211" s="2">
        <v>45839</v>
      </c>
      <c r="AJ211" s="2">
        <v>45825</v>
      </c>
      <c r="AK211" s="4">
        <v>45835</v>
      </c>
      <c r="AL211" t="s">
        <v>574</v>
      </c>
      <c r="AM211" t="s">
        <v>575</v>
      </c>
      <c r="AN211">
        <v>10</v>
      </c>
      <c r="AO211">
        <v>15</v>
      </c>
      <c r="AQ211">
        <f t="shared" si="6"/>
        <v>15</v>
      </c>
      <c r="AR211">
        <f t="shared" si="7"/>
        <v>2025</v>
      </c>
    </row>
    <row r="212" spans="2:44" x14ac:dyDescent="0.25">
      <c r="B212" t="s">
        <v>576</v>
      </c>
      <c r="C212" t="s">
        <v>43</v>
      </c>
      <c r="E212" t="s">
        <v>44</v>
      </c>
      <c r="F212" t="s">
        <v>45</v>
      </c>
      <c r="H212" t="s">
        <v>47</v>
      </c>
      <c r="I212" t="s">
        <v>441</v>
      </c>
      <c r="K212" t="s">
        <v>44</v>
      </c>
      <c r="L212" t="s">
        <v>550</v>
      </c>
      <c r="M212" t="s">
        <v>577</v>
      </c>
      <c r="N212" s="4">
        <v>45796</v>
      </c>
      <c r="U212" t="s">
        <v>50</v>
      </c>
      <c r="AA212" t="s">
        <v>578</v>
      </c>
      <c r="AD212" t="s">
        <v>48</v>
      </c>
      <c r="AE212" t="s">
        <v>44</v>
      </c>
      <c r="AG212" s="2">
        <v>45804</v>
      </c>
      <c r="AJ212" s="2">
        <v>45796</v>
      </c>
      <c r="AK212" s="4">
        <v>45800</v>
      </c>
      <c r="AL212" t="s">
        <v>579</v>
      </c>
      <c r="AM212" t="s">
        <v>575</v>
      </c>
      <c r="AN212">
        <v>4</v>
      </c>
      <c r="AO212">
        <v>8</v>
      </c>
      <c r="AQ212">
        <f t="shared" si="6"/>
        <v>8</v>
      </c>
      <c r="AR212">
        <f t="shared" si="7"/>
        <v>2025</v>
      </c>
    </row>
    <row r="213" spans="2:44" x14ac:dyDescent="0.25">
      <c r="B213" t="s">
        <v>580</v>
      </c>
      <c r="C213" t="s">
        <v>43</v>
      </c>
      <c r="E213" t="s">
        <v>568</v>
      </c>
      <c r="F213" t="s">
        <v>581</v>
      </c>
      <c r="H213" t="s">
        <v>56</v>
      </c>
      <c r="K213" t="s">
        <v>568</v>
      </c>
      <c r="L213" t="s">
        <v>550</v>
      </c>
      <c r="M213" t="s">
        <v>415</v>
      </c>
      <c r="U213" t="s">
        <v>50</v>
      </c>
      <c r="AA213" t="s">
        <v>582</v>
      </c>
      <c r="AD213" t="s">
        <v>583</v>
      </c>
      <c r="AE213" t="s">
        <v>44</v>
      </c>
      <c r="AG213" s="2">
        <v>45807</v>
      </c>
      <c r="AK213" s="4">
        <v>45806</v>
      </c>
      <c r="AM213" t="s">
        <v>575</v>
      </c>
      <c r="AN213">
        <v>45806</v>
      </c>
      <c r="AO213">
        <v>45807</v>
      </c>
      <c r="AQ213" t="str">
        <f t="shared" si="6"/>
        <v/>
      </c>
      <c r="AR213">
        <f t="shared" si="7"/>
        <v>1900</v>
      </c>
    </row>
    <row r="214" spans="2:44" x14ac:dyDescent="0.25">
      <c r="B214" t="s">
        <v>580</v>
      </c>
      <c r="C214" t="s">
        <v>43</v>
      </c>
      <c r="E214" t="s">
        <v>568</v>
      </c>
      <c r="F214" t="s">
        <v>581</v>
      </c>
      <c r="H214" t="s">
        <v>56</v>
      </c>
      <c r="K214" t="s">
        <v>568</v>
      </c>
      <c r="L214" t="s">
        <v>550</v>
      </c>
      <c r="M214" t="s">
        <v>415</v>
      </c>
      <c r="U214" t="s">
        <v>50</v>
      </c>
      <c r="AA214" t="s">
        <v>582</v>
      </c>
      <c r="AD214" t="s">
        <v>584</v>
      </c>
      <c r="AE214" t="s">
        <v>44</v>
      </c>
      <c r="AG214" s="2">
        <v>45821</v>
      </c>
      <c r="AK214" s="4">
        <v>45821</v>
      </c>
      <c r="AM214" t="s">
        <v>585</v>
      </c>
      <c r="AN214">
        <v>45821</v>
      </c>
      <c r="AO214">
        <v>45821</v>
      </c>
      <c r="AQ214" t="str">
        <f t="shared" si="6"/>
        <v/>
      </c>
      <c r="AR214">
        <f t="shared" si="7"/>
        <v>1900</v>
      </c>
    </row>
    <row r="215" spans="2:44" x14ac:dyDescent="0.25">
      <c r="B215" t="s">
        <v>586</v>
      </c>
      <c r="C215" t="s">
        <v>43</v>
      </c>
      <c r="E215" t="s">
        <v>153</v>
      </c>
      <c r="F215" t="s">
        <v>45</v>
      </c>
      <c r="H215" t="s">
        <v>350</v>
      </c>
      <c r="I215" t="s">
        <v>587</v>
      </c>
      <c r="K215" t="s">
        <v>153</v>
      </c>
      <c r="L215" t="s">
        <v>550</v>
      </c>
      <c r="M215" t="s">
        <v>588</v>
      </c>
      <c r="N215" s="4">
        <v>45771</v>
      </c>
      <c r="U215" t="s">
        <v>50</v>
      </c>
      <c r="W215" t="s">
        <v>45</v>
      </c>
      <c r="Z215" t="s">
        <v>45</v>
      </c>
      <c r="AA215" t="s">
        <v>51</v>
      </c>
      <c r="AD215" t="s">
        <v>589</v>
      </c>
      <c r="AE215" t="s">
        <v>590</v>
      </c>
      <c r="AG215" s="2">
        <v>45796</v>
      </c>
      <c r="AJ215" s="2">
        <v>45771</v>
      </c>
      <c r="AK215" s="4">
        <v>45789</v>
      </c>
      <c r="AL215" t="s">
        <v>591</v>
      </c>
      <c r="AM215" t="s">
        <v>575</v>
      </c>
      <c r="AN215">
        <v>18</v>
      </c>
      <c r="AO215">
        <v>25</v>
      </c>
      <c r="AQ215">
        <f t="shared" si="6"/>
        <v>25</v>
      </c>
      <c r="AR215">
        <f t="shared" si="7"/>
        <v>2025</v>
      </c>
    </row>
    <row r="216" spans="2:44" x14ac:dyDescent="0.25">
      <c r="B216" t="s">
        <v>592</v>
      </c>
      <c r="C216" t="s">
        <v>43</v>
      </c>
      <c r="E216" t="s">
        <v>44</v>
      </c>
      <c r="F216" t="s">
        <v>45</v>
      </c>
      <c r="H216" t="s">
        <v>56</v>
      </c>
      <c r="K216" t="s">
        <v>282</v>
      </c>
      <c r="L216" t="s">
        <v>59</v>
      </c>
      <c r="M216" t="s">
        <v>59</v>
      </c>
      <c r="N216" s="4">
        <v>45792</v>
      </c>
      <c r="U216" t="s">
        <v>50</v>
      </c>
      <c r="AA216" t="s">
        <v>593</v>
      </c>
      <c r="AD216" t="s">
        <v>594</v>
      </c>
      <c r="AE216" t="s">
        <v>44</v>
      </c>
      <c r="AG216" s="2">
        <v>45803</v>
      </c>
      <c r="AJ216" s="2">
        <v>45792</v>
      </c>
      <c r="AK216" s="4">
        <v>45797</v>
      </c>
      <c r="AL216" t="s">
        <v>595</v>
      </c>
      <c r="AM216" t="s">
        <v>163</v>
      </c>
      <c r="AN216">
        <v>5</v>
      </c>
      <c r="AO216">
        <v>11</v>
      </c>
      <c r="AQ216">
        <f t="shared" si="6"/>
        <v>11</v>
      </c>
      <c r="AR216">
        <f t="shared" si="7"/>
        <v>2025</v>
      </c>
    </row>
    <row r="217" spans="2:44" x14ac:dyDescent="0.25">
      <c r="B217" t="s">
        <v>596</v>
      </c>
      <c r="C217" t="s">
        <v>43</v>
      </c>
      <c r="E217" t="s">
        <v>44</v>
      </c>
      <c r="F217" t="s">
        <v>45</v>
      </c>
      <c r="H217" t="s">
        <v>56</v>
      </c>
      <c r="K217" t="s">
        <v>282</v>
      </c>
      <c r="L217" t="s">
        <v>59</v>
      </c>
      <c r="M217" t="s">
        <v>59</v>
      </c>
      <c r="N217" s="4">
        <v>45765</v>
      </c>
      <c r="U217" t="s">
        <v>50</v>
      </c>
      <c r="AA217" t="s">
        <v>593</v>
      </c>
      <c r="AD217" t="s">
        <v>597</v>
      </c>
      <c r="AE217" t="s">
        <v>44</v>
      </c>
      <c r="AG217" s="2">
        <v>45810</v>
      </c>
      <c r="AJ217" s="2">
        <v>45775</v>
      </c>
      <c r="AK217" s="4">
        <v>45785</v>
      </c>
      <c r="AL217" t="s">
        <v>62</v>
      </c>
      <c r="AM217" t="s">
        <v>163</v>
      </c>
      <c r="AN217">
        <v>10</v>
      </c>
      <c r="AO217">
        <v>45</v>
      </c>
      <c r="AQ217">
        <f t="shared" si="6"/>
        <v>45</v>
      </c>
      <c r="AR217">
        <f t="shared" si="7"/>
        <v>2025</v>
      </c>
    </row>
    <row r="218" spans="2:44" x14ac:dyDescent="0.25">
      <c r="B218" t="s">
        <v>196</v>
      </c>
      <c r="C218" t="s">
        <v>43</v>
      </c>
      <c r="E218" t="s">
        <v>44</v>
      </c>
      <c r="F218" t="s">
        <v>45</v>
      </c>
      <c r="H218" t="s">
        <v>492</v>
      </c>
      <c r="K218" t="s">
        <v>282</v>
      </c>
      <c r="L218" t="s">
        <v>59</v>
      </c>
      <c r="M218" t="s">
        <v>59</v>
      </c>
      <c r="N218" s="4">
        <v>45750</v>
      </c>
      <c r="U218" t="s">
        <v>50</v>
      </c>
      <c r="AA218" t="s">
        <v>593</v>
      </c>
      <c r="AD218" t="s">
        <v>598</v>
      </c>
      <c r="AE218" t="s">
        <v>44</v>
      </c>
      <c r="AG218" s="2">
        <v>45768</v>
      </c>
      <c r="AJ218" s="2">
        <v>45750</v>
      </c>
      <c r="AK218" s="4">
        <v>45751</v>
      </c>
      <c r="AL218" t="s">
        <v>62</v>
      </c>
      <c r="AM218" t="s">
        <v>163</v>
      </c>
      <c r="AN218">
        <v>1</v>
      </c>
      <c r="AO218">
        <v>18</v>
      </c>
      <c r="AQ218">
        <f t="shared" si="6"/>
        <v>18</v>
      </c>
      <c r="AR218">
        <f t="shared" si="7"/>
        <v>2025</v>
      </c>
    </row>
    <row r="219" spans="2:44" x14ac:dyDescent="0.25">
      <c r="B219" t="s">
        <v>599</v>
      </c>
      <c r="C219" t="s">
        <v>43</v>
      </c>
      <c r="E219" t="s">
        <v>44</v>
      </c>
      <c r="F219" t="s">
        <v>45</v>
      </c>
      <c r="H219" t="s">
        <v>492</v>
      </c>
      <c r="K219" t="s">
        <v>282</v>
      </c>
      <c r="L219" t="s">
        <v>59</v>
      </c>
      <c r="M219" t="s">
        <v>59</v>
      </c>
      <c r="N219" s="4">
        <v>45768</v>
      </c>
      <c r="U219" t="s">
        <v>50</v>
      </c>
      <c r="AA219" t="s">
        <v>593</v>
      </c>
      <c r="AD219" t="s">
        <v>600</v>
      </c>
      <c r="AE219" t="s">
        <v>44</v>
      </c>
      <c r="AG219" s="2">
        <v>45775</v>
      </c>
      <c r="AJ219" s="2">
        <v>45768</v>
      </c>
      <c r="AK219" s="4">
        <v>45770</v>
      </c>
      <c r="AL219" t="s">
        <v>601</v>
      </c>
      <c r="AM219" t="s">
        <v>163</v>
      </c>
      <c r="AN219">
        <v>2</v>
      </c>
      <c r="AO219">
        <v>7</v>
      </c>
      <c r="AQ219">
        <f t="shared" si="6"/>
        <v>7</v>
      </c>
      <c r="AR219">
        <f t="shared" si="7"/>
        <v>2025</v>
      </c>
    </row>
    <row r="220" spans="2:44" x14ac:dyDescent="0.25">
      <c r="B220" t="s">
        <v>602</v>
      </c>
      <c r="C220" t="s">
        <v>43</v>
      </c>
      <c r="E220" t="s">
        <v>44</v>
      </c>
      <c r="F220" t="s">
        <v>45</v>
      </c>
      <c r="H220" t="s">
        <v>492</v>
      </c>
      <c r="K220" t="s">
        <v>282</v>
      </c>
      <c r="L220" t="s">
        <v>59</v>
      </c>
      <c r="M220" t="s">
        <v>59</v>
      </c>
      <c r="N220" s="4">
        <v>45756</v>
      </c>
      <c r="U220" t="s">
        <v>50</v>
      </c>
      <c r="AA220" t="s">
        <v>593</v>
      </c>
      <c r="AD220" t="s">
        <v>603</v>
      </c>
      <c r="AE220" t="s">
        <v>44</v>
      </c>
      <c r="AG220" s="2">
        <v>45778</v>
      </c>
      <c r="AJ220" s="2">
        <v>45756</v>
      </c>
      <c r="AK220" s="4">
        <v>45758</v>
      </c>
      <c r="AL220" t="s">
        <v>603</v>
      </c>
      <c r="AM220" t="s">
        <v>163</v>
      </c>
      <c r="AN220">
        <v>2</v>
      </c>
      <c r="AO220">
        <v>22</v>
      </c>
      <c r="AQ220">
        <f t="shared" si="6"/>
        <v>22</v>
      </c>
      <c r="AR220">
        <f t="shared" si="7"/>
        <v>2025</v>
      </c>
    </row>
    <row r="221" spans="2:44" x14ac:dyDescent="0.25">
      <c r="B221" t="s">
        <v>64</v>
      </c>
      <c r="C221" t="s">
        <v>43</v>
      </c>
      <c r="E221" t="s">
        <v>44</v>
      </c>
      <c r="F221" t="s">
        <v>45</v>
      </c>
      <c r="H221" t="s">
        <v>492</v>
      </c>
      <c r="K221" t="s">
        <v>282</v>
      </c>
      <c r="L221" t="s">
        <v>59</v>
      </c>
      <c r="M221" t="s">
        <v>59</v>
      </c>
      <c r="N221" s="4">
        <v>45736</v>
      </c>
      <c r="U221" t="s">
        <v>50</v>
      </c>
      <c r="AA221" t="s">
        <v>593</v>
      </c>
      <c r="AD221" t="s">
        <v>604</v>
      </c>
      <c r="AE221" t="s">
        <v>282</v>
      </c>
      <c r="AG221" s="2">
        <v>45796</v>
      </c>
      <c r="AJ221" s="2">
        <v>45736</v>
      </c>
      <c r="AK221" s="4">
        <v>45757</v>
      </c>
      <c r="AL221" t="s">
        <v>162</v>
      </c>
      <c r="AM221" t="s">
        <v>163</v>
      </c>
      <c r="AN221">
        <v>21</v>
      </c>
      <c r="AO221">
        <v>60</v>
      </c>
      <c r="AQ221">
        <f t="shared" si="6"/>
        <v>60</v>
      </c>
      <c r="AR221">
        <f t="shared" si="7"/>
        <v>2025</v>
      </c>
    </row>
    <row r="222" spans="2:44" x14ac:dyDescent="0.25">
      <c r="B222" t="s">
        <v>605</v>
      </c>
      <c r="C222" t="s">
        <v>43</v>
      </c>
      <c r="E222" t="s">
        <v>44</v>
      </c>
      <c r="F222" t="s">
        <v>45</v>
      </c>
      <c r="H222" t="s">
        <v>56</v>
      </c>
      <c r="K222" t="s">
        <v>282</v>
      </c>
      <c r="L222" t="s">
        <v>59</v>
      </c>
      <c r="M222" t="s">
        <v>59</v>
      </c>
      <c r="N222" s="4">
        <v>45719</v>
      </c>
      <c r="U222" t="s">
        <v>50</v>
      </c>
      <c r="AA222" t="s">
        <v>593</v>
      </c>
      <c r="AD222" t="s">
        <v>606</v>
      </c>
      <c r="AE222" t="s">
        <v>282</v>
      </c>
      <c r="AG222" s="2">
        <v>45727</v>
      </c>
      <c r="AJ222" s="2">
        <v>45719</v>
      </c>
      <c r="AK222" s="4">
        <v>45727</v>
      </c>
      <c r="AL222" t="s">
        <v>162</v>
      </c>
      <c r="AM222" t="s">
        <v>163</v>
      </c>
      <c r="AN222">
        <v>8</v>
      </c>
      <c r="AO222">
        <v>8</v>
      </c>
      <c r="AQ222">
        <f t="shared" si="6"/>
        <v>8</v>
      </c>
      <c r="AR222">
        <f t="shared" si="7"/>
        <v>2025</v>
      </c>
    </row>
    <row r="223" spans="2:44" x14ac:dyDescent="0.25">
      <c r="B223" t="s">
        <v>263</v>
      </c>
      <c r="C223" t="s">
        <v>43</v>
      </c>
      <c r="E223" t="s">
        <v>44</v>
      </c>
      <c r="F223" t="s">
        <v>45</v>
      </c>
      <c r="H223" t="s">
        <v>56</v>
      </c>
      <c r="K223" t="s">
        <v>282</v>
      </c>
      <c r="L223" t="s">
        <v>59</v>
      </c>
      <c r="M223" t="s">
        <v>59</v>
      </c>
      <c r="N223" s="4">
        <v>45720</v>
      </c>
      <c r="U223" t="s">
        <v>50</v>
      </c>
      <c r="AA223" t="s">
        <v>593</v>
      </c>
      <c r="AD223" t="s">
        <v>607</v>
      </c>
      <c r="AE223" t="s">
        <v>282</v>
      </c>
      <c r="AG223" s="2">
        <v>45754</v>
      </c>
      <c r="AJ223" s="2">
        <v>45720</v>
      </c>
      <c r="AK223" s="4">
        <v>45730</v>
      </c>
      <c r="AL223" t="s">
        <v>162</v>
      </c>
      <c r="AM223" t="s">
        <v>163</v>
      </c>
      <c r="AN223">
        <v>10</v>
      </c>
      <c r="AO223">
        <v>34</v>
      </c>
      <c r="AQ223">
        <f t="shared" si="6"/>
        <v>34</v>
      </c>
      <c r="AR223">
        <f t="shared" si="7"/>
        <v>2025</v>
      </c>
    </row>
    <row r="224" spans="2:44" x14ac:dyDescent="0.25">
      <c r="B224" t="s">
        <v>64</v>
      </c>
      <c r="C224" t="s">
        <v>43</v>
      </c>
      <c r="E224" t="s">
        <v>44</v>
      </c>
      <c r="F224" t="s">
        <v>45</v>
      </c>
      <c r="H224" t="s">
        <v>56</v>
      </c>
      <c r="K224" t="s">
        <v>282</v>
      </c>
      <c r="L224" t="s">
        <v>59</v>
      </c>
      <c r="M224" t="s">
        <v>59</v>
      </c>
      <c r="N224" s="4">
        <v>45719</v>
      </c>
      <c r="U224" t="s">
        <v>50</v>
      </c>
      <c r="AA224" t="s">
        <v>593</v>
      </c>
      <c r="AD224" t="s">
        <v>608</v>
      </c>
      <c r="AE224" t="s">
        <v>282</v>
      </c>
      <c r="AG224" s="2">
        <v>45796</v>
      </c>
      <c r="AJ224" s="2">
        <v>45719</v>
      </c>
      <c r="AK224" s="4">
        <v>45726</v>
      </c>
      <c r="AL224" t="s">
        <v>162</v>
      </c>
      <c r="AM224" t="s">
        <v>163</v>
      </c>
      <c r="AN224">
        <v>7</v>
      </c>
      <c r="AO224">
        <v>77</v>
      </c>
      <c r="AQ224">
        <f t="shared" si="6"/>
        <v>77</v>
      </c>
      <c r="AR224">
        <f t="shared" si="7"/>
        <v>2025</v>
      </c>
    </row>
    <row r="225" spans="2:44" x14ac:dyDescent="0.25">
      <c r="B225" t="s">
        <v>609</v>
      </c>
      <c r="C225" t="s">
        <v>43</v>
      </c>
      <c r="E225" t="s">
        <v>44</v>
      </c>
      <c r="F225" t="s">
        <v>45</v>
      </c>
      <c r="H225" t="s">
        <v>56</v>
      </c>
      <c r="K225" t="s">
        <v>282</v>
      </c>
      <c r="L225" t="s">
        <v>59</v>
      </c>
      <c r="M225" t="s">
        <v>59</v>
      </c>
      <c r="N225" s="4">
        <v>45677</v>
      </c>
      <c r="U225" t="s">
        <v>50</v>
      </c>
      <c r="AA225" t="s">
        <v>593</v>
      </c>
      <c r="AD225" t="s">
        <v>610</v>
      </c>
      <c r="AE225" t="s">
        <v>282</v>
      </c>
      <c r="AG225" s="2">
        <v>45748</v>
      </c>
      <c r="AJ225" s="2">
        <v>45677</v>
      </c>
      <c r="AK225" s="4">
        <v>45701</v>
      </c>
      <c r="AL225" t="s">
        <v>162</v>
      </c>
      <c r="AM225" t="s">
        <v>163</v>
      </c>
      <c r="AN225">
        <v>24</v>
      </c>
      <c r="AO225">
        <v>71</v>
      </c>
      <c r="AQ225">
        <f t="shared" si="6"/>
        <v>71</v>
      </c>
      <c r="AR225">
        <f t="shared" si="7"/>
        <v>2025</v>
      </c>
    </row>
    <row r="226" spans="2:44" x14ac:dyDescent="0.25">
      <c r="B226" t="s">
        <v>611</v>
      </c>
      <c r="C226" t="s">
        <v>43</v>
      </c>
      <c r="E226" t="s">
        <v>153</v>
      </c>
      <c r="H226" t="s">
        <v>350</v>
      </c>
      <c r="I226" t="s">
        <v>612</v>
      </c>
      <c r="K226" t="s">
        <v>155</v>
      </c>
      <c r="L226" t="s">
        <v>123</v>
      </c>
      <c r="M226" t="s">
        <v>123</v>
      </c>
      <c r="N226" s="4">
        <v>45817</v>
      </c>
      <c r="U226" t="s">
        <v>50</v>
      </c>
      <c r="AA226" t="s">
        <v>149</v>
      </c>
      <c r="AD226" t="s">
        <v>613</v>
      </c>
      <c r="AE226" t="s">
        <v>614</v>
      </c>
      <c r="AG226" s="2">
        <v>45852</v>
      </c>
      <c r="AJ226" s="2">
        <v>45831</v>
      </c>
      <c r="AK226" s="4">
        <v>45847</v>
      </c>
      <c r="AL226" t="s">
        <v>348</v>
      </c>
      <c r="AM226" t="s">
        <v>102</v>
      </c>
      <c r="AN226">
        <v>16</v>
      </c>
      <c r="AO226">
        <v>35</v>
      </c>
      <c r="AQ226">
        <f t="shared" si="6"/>
        <v>35</v>
      </c>
      <c r="AR226">
        <f t="shared" si="7"/>
        <v>2025</v>
      </c>
    </row>
    <row r="227" spans="2:44" x14ac:dyDescent="0.25">
      <c r="E227" t="s">
        <v>100</v>
      </c>
      <c r="AN227">
        <v>0</v>
      </c>
      <c r="AO227" t="b">
        <v>0</v>
      </c>
      <c r="AQ227" t="str">
        <f t="shared" si="6"/>
        <v/>
      </c>
      <c r="AR227">
        <f t="shared" si="7"/>
        <v>1900</v>
      </c>
    </row>
    <row r="228" spans="2:44" x14ac:dyDescent="0.25">
      <c r="B228" t="s">
        <v>263</v>
      </c>
      <c r="C228" t="s">
        <v>43</v>
      </c>
      <c r="E228" t="s">
        <v>100</v>
      </c>
      <c r="F228" t="s">
        <v>45</v>
      </c>
      <c r="K228" t="s">
        <v>44</v>
      </c>
      <c r="L228" t="s">
        <v>59</v>
      </c>
      <c r="M228" t="s">
        <v>59</v>
      </c>
      <c r="N228" s="4">
        <v>45791</v>
      </c>
      <c r="U228" t="s">
        <v>50</v>
      </c>
      <c r="AA228" t="s">
        <v>149</v>
      </c>
      <c r="AD228" t="s">
        <v>615</v>
      </c>
      <c r="AE228" t="s">
        <v>230</v>
      </c>
      <c r="AG228" s="2">
        <v>45852</v>
      </c>
      <c r="AJ228" s="2">
        <v>45791</v>
      </c>
      <c r="AK228" s="4">
        <v>45810</v>
      </c>
      <c r="AL228" t="s">
        <v>162</v>
      </c>
      <c r="AM228" t="s">
        <v>163</v>
      </c>
      <c r="AN228">
        <v>19</v>
      </c>
      <c r="AO228">
        <v>61</v>
      </c>
      <c r="AQ228">
        <f t="shared" si="6"/>
        <v>61</v>
      </c>
      <c r="AR228">
        <f t="shared" si="7"/>
        <v>2025</v>
      </c>
    </row>
    <row r="229" spans="2:44" x14ac:dyDescent="0.25">
      <c r="B229" t="s">
        <v>616</v>
      </c>
      <c r="C229" t="s">
        <v>43</v>
      </c>
      <c r="E229" t="s">
        <v>100</v>
      </c>
      <c r="F229" t="s">
        <v>45</v>
      </c>
      <c r="K229" t="s">
        <v>44</v>
      </c>
      <c r="L229" t="s">
        <v>59</v>
      </c>
      <c r="M229" t="s">
        <v>59</v>
      </c>
      <c r="N229" s="4">
        <v>45756</v>
      </c>
      <c r="U229" t="s">
        <v>50</v>
      </c>
      <c r="AA229" t="s">
        <v>617</v>
      </c>
      <c r="AD229" t="s">
        <v>618</v>
      </c>
      <c r="AE229" t="s">
        <v>230</v>
      </c>
      <c r="AG229" s="2">
        <v>45852</v>
      </c>
      <c r="AJ229" s="2">
        <v>45756</v>
      </c>
      <c r="AK229" s="4">
        <v>45758</v>
      </c>
      <c r="AL229" t="s">
        <v>357</v>
      </c>
      <c r="AM229" t="s">
        <v>163</v>
      </c>
      <c r="AN229">
        <v>2</v>
      </c>
      <c r="AO229">
        <v>96</v>
      </c>
      <c r="AQ229">
        <f t="shared" si="6"/>
        <v>96</v>
      </c>
      <c r="AR229">
        <f t="shared" si="7"/>
        <v>2025</v>
      </c>
    </row>
    <row r="230" spans="2:44" x14ac:dyDescent="0.25">
      <c r="B230" t="s">
        <v>619</v>
      </c>
      <c r="C230" t="s">
        <v>43</v>
      </c>
      <c r="E230" t="s">
        <v>100</v>
      </c>
      <c r="F230" t="s">
        <v>45</v>
      </c>
      <c r="K230" t="s">
        <v>44</v>
      </c>
      <c r="L230" t="s">
        <v>59</v>
      </c>
      <c r="M230" t="s">
        <v>59</v>
      </c>
      <c r="N230" s="4">
        <v>45804</v>
      </c>
      <c r="U230" t="s">
        <v>50</v>
      </c>
      <c r="AA230" t="s">
        <v>593</v>
      </c>
      <c r="AD230" t="s">
        <v>620</v>
      </c>
      <c r="AE230" t="s">
        <v>230</v>
      </c>
      <c r="AG230" s="2">
        <v>45852</v>
      </c>
      <c r="AJ230" s="2">
        <v>45804</v>
      </c>
      <c r="AK230" s="4">
        <v>45811</v>
      </c>
      <c r="AL230" t="s">
        <v>621</v>
      </c>
      <c r="AM230" t="s">
        <v>163</v>
      </c>
      <c r="AN230">
        <v>7</v>
      </c>
      <c r="AO230">
        <v>48</v>
      </c>
      <c r="AQ230">
        <f t="shared" si="6"/>
        <v>48</v>
      </c>
      <c r="AR230">
        <f t="shared" si="7"/>
        <v>2025</v>
      </c>
    </row>
    <row r="231" spans="2:44" x14ac:dyDescent="0.25">
      <c r="B231" t="s">
        <v>95</v>
      </c>
      <c r="C231" t="s">
        <v>43</v>
      </c>
      <c r="E231" t="s">
        <v>197</v>
      </c>
      <c r="F231" t="s">
        <v>45</v>
      </c>
      <c r="H231" t="s">
        <v>47</v>
      </c>
      <c r="I231" t="s">
        <v>622</v>
      </c>
      <c r="K231" t="s">
        <v>199</v>
      </c>
      <c r="L231" t="s">
        <v>59</v>
      </c>
      <c r="M231" t="s">
        <v>59</v>
      </c>
      <c r="N231" s="4">
        <v>45811</v>
      </c>
      <c r="U231" t="s">
        <v>50</v>
      </c>
      <c r="AA231" t="s">
        <v>149</v>
      </c>
      <c r="AD231" t="s">
        <v>623</v>
      </c>
      <c r="AE231" t="s">
        <v>199</v>
      </c>
      <c r="AG231" s="2">
        <v>45861</v>
      </c>
      <c r="AJ231" s="2">
        <v>45820</v>
      </c>
      <c r="AK231" s="4">
        <v>45852</v>
      </c>
      <c r="AL231" t="s">
        <v>62</v>
      </c>
      <c r="AM231" t="s">
        <v>163</v>
      </c>
      <c r="AN231">
        <v>32</v>
      </c>
      <c r="AO231">
        <v>50</v>
      </c>
      <c r="AQ231">
        <f t="shared" si="6"/>
        <v>50</v>
      </c>
      <c r="AR231">
        <f t="shared" si="7"/>
        <v>2025</v>
      </c>
    </row>
    <row r="232" spans="2:44" x14ac:dyDescent="0.25">
      <c r="B232" t="s">
        <v>624</v>
      </c>
      <c r="C232" t="s">
        <v>43</v>
      </c>
      <c r="E232" t="s">
        <v>100</v>
      </c>
      <c r="F232" t="s">
        <v>158</v>
      </c>
      <c r="H232" t="s">
        <v>355</v>
      </c>
      <c r="K232" t="s">
        <v>44</v>
      </c>
      <c r="L232" t="s">
        <v>59</v>
      </c>
      <c r="M232" t="s">
        <v>59</v>
      </c>
      <c r="N232" s="4">
        <v>45869</v>
      </c>
      <c r="U232" t="s">
        <v>50</v>
      </c>
      <c r="AA232" t="s">
        <v>625</v>
      </c>
      <c r="AD232" t="s">
        <v>626</v>
      </c>
      <c r="AE232" t="s">
        <v>230</v>
      </c>
      <c r="AG232" s="2">
        <v>45870</v>
      </c>
      <c r="AJ232" s="2">
        <v>45869</v>
      </c>
      <c r="AK232" s="4">
        <v>45873</v>
      </c>
      <c r="AL232" t="s">
        <v>62</v>
      </c>
      <c r="AM232" t="s">
        <v>163</v>
      </c>
      <c r="AN232">
        <v>4</v>
      </c>
      <c r="AO232">
        <v>1</v>
      </c>
      <c r="AQ232">
        <f t="shared" si="6"/>
        <v>1</v>
      </c>
      <c r="AR232">
        <f t="shared" si="7"/>
        <v>2025</v>
      </c>
    </row>
    <row r="233" spans="2:44" x14ac:dyDescent="0.25">
      <c r="B233" t="s">
        <v>627</v>
      </c>
      <c r="C233" t="s">
        <v>43</v>
      </c>
      <c r="E233" t="s">
        <v>100</v>
      </c>
      <c r="F233" t="s">
        <v>158</v>
      </c>
      <c r="H233" t="s">
        <v>355</v>
      </c>
      <c r="K233" t="s">
        <v>44</v>
      </c>
      <c r="L233" t="s">
        <v>59</v>
      </c>
      <c r="M233" t="s">
        <v>59</v>
      </c>
      <c r="N233" s="4">
        <v>45869</v>
      </c>
      <c r="U233" t="s">
        <v>50</v>
      </c>
      <c r="AA233" t="s">
        <v>625</v>
      </c>
      <c r="AD233" t="s">
        <v>628</v>
      </c>
      <c r="AE233" t="s">
        <v>230</v>
      </c>
      <c r="AG233" s="2">
        <v>45870</v>
      </c>
      <c r="AJ233" s="2">
        <v>45869</v>
      </c>
      <c r="AK233" s="4">
        <v>45873</v>
      </c>
      <c r="AL233" t="s">
        <v>62</v>
      </c>
      <c r="AM233" t="s">
        <v>163</v>
      </c>
      <c r="AN233">
        <v>4</v>
      </c>
      <c r="AO233">
        <v>1</v>
      </c>
      <c r="AQ233">
        <f t="shared" si="6"/>
        <v>1</v>
      </c>
      <c r="AR233">
        <f t="shared" si="7"/>
        <v>2025</v>
      </c>
    </row>
    <row r="234" spans="2:44" x14ac:dyDescent="0.25">
      <c r="B234" t="s">
        <v>629</v>
      </c>
      <c r="C234" t="s">
        <v>43</v>
      </c>
      <c r="E234" t="s">
        <v>153</v>
      </c>
      <c r="F234" t="s">
        <v>158</v>
      </c>
      <c r="H234" t="s">
        <v>47</v>
      </c>
      <c r="I234" t="s">
        <v>630</v>
      </c>
      <c r="K234" t="s">
        <v>155</v>
      </c>
      <c r="L234" t="s">
        <v>59</v>
      </c>
      <c r="M234" t="s">
        <v>59</v>
      </c>
      <c r="N234" s="4">
        <v>45869</v>
      </c>
      <c r="U234" t="s">
        <v>50</v>
      </c>
      <c r="AA234" t="s">
        <v>625</v>
      </c>
      <c r="AD234" t="s">
        <v>631</v>
      </c>
      <c r="AE234" t="s">
        <v>155</v>
      </c>
      <c r="AG234" s="2">
        <v>45870</v>
      </c>
      <c r="AJ234" s="2">
        <v>45869</v>
      </c>
      <c r="AK234" s="4">
        <v>45873</v>
      </c>
      <c r="AL234" t="s">
        <v>62</v>
      </c>
      <c r="AM234" t="s">
        <v>163</v>
      </c>
      <c r="AN234">
        <v>4</v>
      </c>
      <c r="AO234">
        <v>1</v>
      </c>
      <c r="AQ234">
        <f t="shared" si="6"/>
        <v>1</v>
      </c>
      <c r="AR234">
        <f t="shared" si="7"/>
        <v>2025</v>
      </c>
    </row>
    <row r="235" spans="2:44" x14ac:dyDescent="0.25">
      <c r="B235" t="s">
        <v>632</v>
      </c>
      <c r="C235" t="s">
        <v>43</v>
      </c>
      <c r="E235" t="s">
        <v>100</v>
      </c>
      <c r="F235" t="s">
        <v>45</v>
      </c>
      <c r="H235" t="s">
        <v>355</v>
      </c>
      <c r="K235" t="s">
        <v>44</v>
      </c>
      <c r="L235" t="s">
        <v>59</v>
      </c>
      <c r="M235" t="s">
        <v>59</v>
      </c>
      <c r="N235" s="4">
        <v>45840</v>
      </c>
      <c r="U235" t="s">
        <v>50</v>
      </c>
      <c r="AA235" t="s">
        <v>149</v>
      </c>
      <c r="AD235" t="s">
        <v>633</v>
      </c>
      <c r="AE235" t="s">
        <v>230</v>
      </c>
      <c r="AG235" s="2">
        <v>45887</v>
      </c>
      <c r="AJ235" s="2">
        <v>45840</v>
      </c>
      <c r="AK235" s="4">
        <v>45876</v>
      </c>
      <c r="AL235" t="s">
        <v>167</v>
      </c>
      <c r="AM235" t="s">
        <v>163</v>
      </c>
      <c r="AN235">
        <v>36</v>
      </c>
      <c r="AO235">
        <v>47</v>
      </c>
      <c r="AQ235">
        <f t="shared" si="6"/>
        <v>47</v>
      </c>
      <c r="AR235">
        <f t="shared" si="7"/>
        <v>2025</v>
      </c>
    </row>
    <row r="236" spans="2:44" x14ac:dyDescent="0.25">
      <c r="B236" t="s">
        <v>634</v>
      </c>
      <c r="C236" t="s">
        <v>43</v>
      </c>
      <c r="E236" t="s">
        <v>100</v>
      </c>
      <c r="F236" t="s">
        <v>45</v>
      </c>
      <c r="H236" t="s">
        <v>355</v>
      </c>
      <c r="K236" t="s">
        <v>44</v>
      </c>
      <c r="L236" t="s">
        <v>59</v>
      </c>
      <c r="M236" t="s">
        <v>59</v>
      </c>
      <c r="N236" s="4">
        <v>45874</v>
      </c>
      <c r="U236" t="s">
        <v>50</v>
      </c>
      <c r="AA236" t="s">
        <v>593</v>
      </c>
      <c r="AD236" t="s">
        <v>635</v>
      </c>
      <c r="AE236" t="s">
        <v>230</v>
      </c>
      <c r="AG236" s="2">
        <v>45889</v>
      </c>
      <c r="AJ236" s="2">
        <v>45874</v>
      </c>
      <c r="AK236" s="4">
        <v>45882</v>
      </c>
      <c r="AL236" t="s">
        <v>357</v>
      </c>
      <c r="AM236" t="s">
        <v>163</v>
      </c>
      <c r="AN236">
        <v>8</v>
      </c>
      <c r="AO236">
        <v>15</v>
      </c>
      <c r="AQ236">
        <f t="shared" si="6"/>
        <v>15</v>
      </c>
      <c r="AR236">
        <f t="shared" si="7"/>
        <v>2025</v>
      </c>
    </row>
    <row r="237" spans="2:44" x14ac:dyDescent="0.25">
      <c r="B237" t="s">
        <v>496</v>
      </c>
      <c r="C237" t="s">
        <v>128</v>
      </c>
      <c r="E237" t="s">
        <v>100</v>
      </c>
      <c r="F237" t="s">
        <v>45</v>
      </c>
      <c r="H237" t="s">
        <v>355</v>
      </c>
      <c r="K237" t="s">
        <v>44</v>
      </c>
      <c r="L237" t="s">
        <v>59</v>
      </c>
      <c r="M237" t="s">
        <v>59</v>
      </c>
      <c r="N237" s="4">
        <v>45877</v>
      </c>
      <c r="U237" t="s">
        <v>50</v>
      </c>
      <c r="AA237" t="s">
        <v>593</v>
      </c>
      <c r="AD237" t="s">
        <v>636</v>
      </c>
      <c r="AE237" t="s">
        <v>230</v>
      </c>
      <c r="AG237" s="2">
        <v>45894</v>
      </c>
      <c r="AJ237" s="2">
        <v>45877</v>
      </c>
      <c r="AK237" s="4">
        <v>45887</v>
      </c>
      <c r="AL237" t="s">
        <v>637</v>
      </c>
      <c r="AM237" t="s">
        <v>163</v>
      </c>
      <c r="AN237">
        <v>10</v>
      </c>
      <c r="AO237">
        <v>17</v>
      </c>
      <c r="AQ237">
        <f t="shared" si="6"/>
        <v>17</v>
      </c>
      <c r="AR237">
        <f t="shared" si="7"/>
        <v>2025</v>
      </c>
    </row>
    <row r="238" spans="2:44" x14ac:dyDescent="0.25">
      <c r="B238" t="s">
        <v>122</v>
      </c>
      <c r="C238" t="s">
        <v>128</v>
      </c>
      <c r="E238" t="s">
        <v>100</v>
      </c>
      <c r="F238" t="s">
        <v>45</v>
      </c>
      <c r="H238" t="s">
        <v>47</v>
      </c>
      <c r="I238" t="s">
        <v>638</v>
      </c>
      <c r="K238" t="s">
        <v>44</v>
      </c>
      <c r="L238" t="s">
        <v>123</v>
      </c>
      <c r="M238" t="s">
        <v>485</v>
      </c>
      <c r="N238" s="4">
        <v>45915</v>
      </c>
      <c r="U238" t="s">
        <v>50</v>
      </c>
      <c r="AA238" t="s">
        <v>639</v>
      </c>
      <c r="AD238" t="s">
        <v>640</v>
      </c>
      <c r="AE238" t="s">
        <v>230</v>
      </c>
      <c r="AG238" s="2">
        <v>45936</v>
      </c>
      <c r="AJ238" s="2">
        <v>45875</v>
      </c>
      <c r="AK238" s="4">
        <v>45930</v>
      </c>
      <c r="AL238" t="s">
        <v>125</v>
      </c>
      <c r="AM238" t="s">
        <v>102</v>
      </c>
      <c r="AN238">
        <v>55</v>
      </c>
      <c r="AO238">
        <v>21</v>
      </c>
      <c r="AQ238">
        <f t="shared" si="6"/>
        <v>21</v>
      </c>
      <c r="AR238">
        <f t="shared" si="7"/>
        <v>2025</v>
      </c>
    </row>
    <row r="239" spans="2:44" x14ac:dyDescent="0.25">
      <c r="B239" t="s">
        <v>90</v>
      </c>
      <c r="C239" t="s">
        <v>43</v>
      </c>
      <c r="E239" t="s">
        <v>100</v>
      </c>
      <c r="F239" t="s">
        <v>45</v>
      </c>
      <c r="H239" t="s">
        <v>355</v>
      </c>
      <c r="K239" t="s">
        <v>44</v>
      </c>
      <c r="M239" t="s">
        <v>211</v>
      </c>
      <c r="AA239" t="s">
        <v>641</v>
      </c>
      <c r="AD239" t="s">
        <v>642</v>
      </c>
      <c r="AE239" t="s">
        <v>230</v>
      </c>
      <c r="AG239" s="2">
        <v>45839</v>
      </c>
      <c r="AJ239" s="2">
        <v>45839</v>
      </c>
      <c r="AK239" s="4">
        <v>45840</v>
      </c>
      <c r="AL239" t="s">
        <v>526</v>
      </c>
      <c r="AM239" t="s">
        <v>519</v>
      </c>
      <c r="AN239">
        <v>0</v>
      </c>
      <c r="AO239" t="b">
        <v>0</v>
      </c>
      <c r="AQ239" t="str">
        <f t="shared" si="6"/>
        <v/>
      </c>
      <c r="AR239">
        <f t="shared" si="7"/>
        <v>1900</v>
      </c>
    </row>
    <row r="240" spans="2:44" x14ac:dyDescent="0.25">
      <c r="B240" t="s">
        <v>643</v>
      </c>
      <c r="C240" t="s">
        <v>43</v>
      </c>
      <c r="E240" t="s">
        <v>153</v>
      </c>
      <c r="F240" t="s">
        <v>158</v>
      </c>
      <c r="H240" t="s">
        <v>47</v>
      </c>
      <c r="I240" t="s">
        <v>644</v>
      </c>
      <c r="K240" t="s">
        <v>199</v>
      </c>
      <c r="L240" t="s">
        <v>123</v>
      </c>
      <c r="M240" t="s">
        <v>123</v>
      </c>
      <c r="N240" s="4">
        <v>45824</v>
      </c>
      <c r="U240" t="s">
        <v>50</v>
      </c>
      <c r="AA240" t="s">
        <v>149</v>
      </c>
      <c r="AD240" t="s">
        <v>645</v>
      </c>
      <c r="AE240" t="s">
        <v>153</v>
      </c>
      <c r="AG240" s="2">
        <v>45852</v>
      </c>
      <c r="AJ240" s="2">
        <v>45824</v>
      </c>
      <c r="AK240" s="4">
        <v>45841</v>
      </c>
      <c r="AL240" t="s">
        <v>125</v>
      </c>
      <c r="AM240" t="s">
        <v>102</v>
      </c>
      <c r="AN240">
        <v>17</v>
      </c>
      <c r="AO240">
        <v>28</v>
      </c>
      <c r="AQ240">
        <f t="shared" si="6"/>
        <v>28</v>
      </c>
      <c r="AR240">
        <f t="shared" si="7"/>
        <v>2025</v>
      </c>
    </row>
    <row r="241" spans="2:44" x14ac:dyDescent="0.25">
      <c r="B241" t="s">
        <v>646</v>
      </c>
      <c r="C241" t="s">
        <v>43</v>
      </c>
      <c r="E241" t="s">
        <v>100</v>
      </c>
      <c r="F241" t="s">
        <v>158</v>
      </c>
      <c r="H241" t="s">
        <v>47</v>
      </c>
      <c r="I241" t="s">
        <v>647</v>
      </c>
      <c r="K241" t="s">
        <v>44</v>
      </c>
      <c r="L241" t="s">
        <v>550</v>
      </c>
      <c r="M241" t="s">
        <v>648</v>
      </c>
      <c r="N241" s="4">
        <v>45809</v>
      </c>
      <c r="U241" t="s">
        <v>50</v>
      </c>
      <c r="AA241" t="s">
        <v>593</v>
      </c>
      <c r="AD241" t="s">
        <v>431</v>
      </c>
      <c r="AE241" t="s">
        <v>230</v>
      </c>
      <c r="AG241" s="2">
        <v>45839</v>
      </c>
      <c r="AJ241" s="2">
        <v>45823</v>
      </c>
      <c r="AK241" s="4">
        <v>45835</v>
      </c>
      <c r="AL241" t="s">
        <v>185</v>
      </c>
      <c r="AM241" t="s">
        <v>585</v>
      </c>
      <c r="AN241">
        <v>12</v>
      </c>
      <c r="AO241">
        <v>30</v>
      </c>
      <c r="AQ241">
        <f t="shared" si="6"/>
        <v>30</v>
      </c>
      <c r="AR241">
        <f t="shared" si="7"/>
        <v>2025</v>
      </c>
    </row>
    <row r="242" spans="2:44" x14ac:dyDescent="0.25">
      <c r="B242" t="s">
        <v>90</v>
      </c>
      <c r="C242" t="s">
        <v>43</v>
      </c>
      <c r="E242" t="s">
        <v>100</v>
      </c>
      <c r="F242" t="s">
        <v>158</v>
      </c>
      <c r="H242" t="s">
        <v>47</v>
      </c>
      <c r="I242" t="s">
        <v>649</v>
      </c>
      <c r="K242" t="s">
        <v>44</v>
      </c>
      <c r="L242" t="s">
        <v>550</v>
      </c>
      <c r="M242" t="s">
        <v>648</v>
      </c>
      <c r="N242" s="4">
        <v>45828</v>
      </c>
      <c r="U242" t="s">
        <v>50</v>
      </c>
      <c r="AA242" t="s">
        <v>51</v>
      </c>
      <c r="AD242" t="s">
        <v>650</v>
      </c>
      <c r="AE242" t="s">
        <v>230</v>
      </c>
      <c r="AG242" s="2">
        <v>45867</v>
      </c>
      <c r="AJ242" s="2">
        <v>45855</v>
      </c>
      <c r="AK242" s="4">
        <v>45864</v>
      </c>
      <c r="AL242" t="s">
        <v>579</v>
      </c>
      <c r="AM242" t="s">
        <v>585</v>
      </c>
      <c r="AN242">
        <v>9</v>
      </c>
      <c r="AO242">
        <v>39</v>
      </c>
      <c r="AQ242">
        <f t="shared" si="6"/>
        <v>39</v>
      </c>
      <c r="AR242">
        <f t="shared" si="7"/>
        <v>2025</v>
      </c>
    </row>
    <row r="243" spans="2:44" x14ac:dyDescent="0.25">
      <c r="B243" t="s">
        <v>651</v>
      </c>
      <c r="C243" t="s">
        <v>43</v>
      </c>
      <c r="E243" t="s">
        <v>100</v>
      </c>
      <c r="F243" t="s">
        <v>158</v>
      </c>
      <c r="H243" t="s">
        <v>355</v>
      </c>
      <c r="K243" t="s">
        <v>44</v>
      </c>
      <c r="L243" t="s">
        <v>550</v>
      </c>
      <c r="M243" t="s">
        <v>648</v>
      </c>
      <c r="U243" t="s">
        <v>50</v>
      </c>
      <c r="AA243" t="s">
        <v>641</v>
      </c>
      <c r="AD243" t="s">
        <v>652</v>
      </c>
      <c r="AE243" t="s">
        <v>230</v>
      </c>
      <c r="AG243" s="2">
        <v>45880</v>
      </c>
      <c r="AJ243" s="2">
        <v>45689</v>
      </c>
      <c r="AK243" s="4">
        <v>45880</v>
      </c>
      <c r="AL243" t="s">
        <v>653</v>
      </c>
      <c r="AM243" t="s">
        <v>585</v>
      </c>
      <c r="AN243">
        <v>191</v>
      </c>
      <c r="AO243">
        <v>45880</v>
      </c>
      <c r="AQ243" t="str">
        <f t="shared" si="6"/>
        <v/>
      </c>
      <c r="AR243">
        <f t="shared" si="7"/>
        <v>1900</v>
      </c>
    </row>
    <row r="244" spans="2:44" x14ac:dyDescent="0.25">
      <c r="B244" t="s">
        <v>651</v>
      </c>
      <c r="C244" t="s">
        <v>43</v>
      </c>
      <c r="E244" t="s">
        <v>393</v>
      </c>
      <c r="F244" t="s">
        <v>158</v>
      </c>
      <c r="H244" t="s">
        <v>355</v>
      </c>
      <c r="K244" t="s">
        <v>654</v>
      </c>
      <c r="L244" t="s">
        <v>550</v>
      </c>
      <c r="M244" t="s">
        <v>648</v>
      </c>
      <c r="U244" t="s">
        <v>50</v>
      </c>
      <c r="AA244" t="s">
        <v>641</v>
      </c>
      <c r="AD244" t="s">
        <v>655</v>
      </c>
      <c r="AE244" t="s">
        <v>230</v>
      </c>
      <c r="AG244" s="2">
        <v>45880</v>
      </c>
      <c r="AJ244" s="2">
        <v>45689</v>
      </c>
      <c r="AK244" s="4">
        <v>45878</v>
      </c>
      <c r="AL244" t="s">
        <v>653</v>
      </c>
      <c r="AM244" t="s">
        <v>585</v>
      </c>
      <c r="AN244">
        <v>189</v>
      </c>
      <c r="AO244">
        <v>45880</v>
      </c>
      <c r="AQ244" t="str">
        <f t="shared" si="6"/>
        <v/>
      </c>
      <c r="AR244">
        <f t="shared" si="7"/>
        <v>1900</v>
      </c>
    </row>
    <row r="245" spans="2:44" x14ac:dyDescent="0.25">
      <c r="B245" t="s">
        <v>656</v>
      </c>
      <c r="C245" t="s">
        <v>43</v>
      </c>
      <c r="E245" t="s">
        <v>100</v>
      </c>
      <c r="F245" t="s">
        <v>158</v>
      </c>
      <c r="H245" t="s">
        <v>355</v>
      </c>
      <c r="K245" t="s">
        <v>44</v>
      </c>
      <c r="L245" t="s">
        <v>550</v>
      </c>
      <c r="M245" t="s">
        <v>648</v>
      </c>
      <c r="N245" s="4">
        <v>45849</v>
      </c>
      <c r="U245" t="s">
        <v>50</v>
      </c>
      <c r="AA245" t="s">
        <v>593</v>
      </c>
      <c r="AD245" t="s">
        <v>657</v>
      </c>
      <c r="AE245" t="s">
        <v>654</v>
      </c>
      <c r="AG245" s="2">
        <v>45884</v>
      </c>
      <c r="AJ245" s="2">
        <v>45849</v>
      </c>
      <c r="AK245" s="4">
        <v>45852</v>
      </c>
      <c r="AL245" t="s">
        <v>653</v>
      </c>
      <c r="AM245" t="s">
        <v>585</v>
      </c>
      <c r="AN245">
        <v>3</v>
      </c>
      <c r="AO245">
        <v>35</v>
      </c>
      <c r="AQ245">
        <f t="shared" si="6"/>
        <v>35</v>
      </c>
      <c r="AR245">
        <f t="shared" si="7"/>
        <v>2025</v>
      </c>
    </row>
    <row r="246" spans="2:44" x14ac:dyDescent="0.25">
      <c r="B246" t="s">
        <v>658</v>
      </c>
      <c r="C246" t="s">
        <v>43</v>
      </c>
      <c r="E246" t="s">
        <v>100</v>
      </c>
      <c r="F246" t="s">
        <v>158</v>
      </c>
      <c r="H246" t="s">
        <v>350</v>
      </c>
      <c r="I246" t="s">
        <v>659</v>
      </c>
      <c r="K246" t="s">
        <v>44</v>
      </c>
      <c r="L246" t="s">
        <v>550</v>
      </c>
      <c r="M246" t="s">
        <v>648</v>
      </c>
      <c r="N246" s="4">
        <v>45871</v>
      </c>
      <c r="U246" t="s">
        <v>50</v>
      </c>
      <c r="AA246" t="s">
        <v>51</v>
      </c>
      <c r="AD246" t="s">
        <v>660</v>
      </c>
      <c r="AE246" t="s">
        <v>230</v>
      </c>
      <c r="AG246" s="2">
        <v>45896</v>
      </c>
      <c r="AJ246" s="2">
        <v>45871</v>
      </c>
      <c r="AK246" s="4">
        <v>45881</v>
      </c>
      <c r="AL246" t="s">
        <v>661</v>
      </c>
      <c r="AM246" t="s">
        <v>585</v>
      </c>
      <c r="AN246">
        <v>10</v>
      </c>
      <c r="AO246">
        <v>25</v>
      </c>
      <c r="AQ246">
        <f t="shared" si="6"/>
        <v>25</v>
      </c>
      <c r="AR246">
        <f t="shared" si="7"/>
        <v>2025</v>
      </c>
    </row>
    <row r="247" spans="2:44" x14ac:dyDescent="0.25">
      <c r="B247" t="s">
        <v>662</v>
      </c>
      <c r="C247" t="s">
        <v>43</v>
      </c>
      <c r="E247" t="s">
        <v>100</v>
      </c>
      <c r="F247" t="s">
        <v>158</v>
      </c>
      <c r="H247" t="s">
        <v>663</v>
      </c>
      <c r="K247" t="s">
        <v>44</v>
      </c>
      <c r="L247" t="s">
        <v>550</v>
      </c>
      <c r="M247" t="s">
        <v>648</v>
      </c>
      <c r="N247" s="4">
        <v>45778</v>
      </c>
      <c r="U247" t="s">
        <v>50</v>
      </c>
      <c r="AA247" t="s">
        <v>664</v>
      </c>
      <c r="AD247" t="s">
        <v>665</v>
      </c>
      <c r="AE247" t="s">
        <v>230</v>
      </c>
      <c r="AG247" s="2">
        <v>45901</v>
      </c>
      <c r="AJ247" s="2">
        <v>45778</v>
      </c>
      <c r="AK247" s="4">
        <v>45901</v>
      </c>
      <c r="AL247" t="s">
        <v>653</v>
      </c>
      <c r="AM247" t="s">
        <v>585</v>
      </c>
      <c r="AN247">
        <v>123</v>
      </c>
      <c r="AO247">
        <v>123</v>
      </c>
      <c r="AQ247">
        <f t="shared" si="6"/>
        <v>123</v>
      </c>
      <c r="AR247">
        <f t="shared" si="7"/>
        <v>2025</v>
      </c>
    </row>
    <row r="248" spans="2:44" x14ac:dyDescent="0.25">
      <c r="B248" t="s">
        <v>215</v>
      </c>
      <c r="C248" t="s">
        <v>43</v>
      </c>
      <c r="E248" t="s">
        <v>153</v>
      </c>
      <c r="F248" t="s">
        <v>158</v>
      </c>
      <c r="H248" t="s">
        <v>47</v>
      </c>
      <c r="I248" t="s">
        <v>666</v>
      </c>
      <c r="K248" t="s">
        <v>315</v>
      </c>
      <c r="L248" t="s">
        <v>59</v>
      </c>
      <c r="M248" t="s">
        <v>59</v>
      </c>
      <c r="N248" s="4">
        <v>45909</v>
      </c>
      <c r="U248" t="s">
        <v>50</v>
      </c>
      <c r="AA248" t="s">
        <v>149</v>
      </c>
      <c r="AD248" t="s">
        <v>667</v>
      </c>
      <c r="AE248" t="s">
        <v>315</v>
      </c>
      <c r="AG248" s="2">
        <v>45943</v>
      </c>
      <c r="AJ248" s="2">
        <v>45916</v>
      </c>
      <c r="AK248" s="4">
        <v>45925</v>
      </c>
      <c r="AL248" t="s">
        <v>62</v>
      </c>
      <c r="AM248" t="s">
        <v>163</v>
      </c>
      <c r="AN248">
        <v>9</v>
      </c>
      <c r="AO248">
        <v>34</v>
      </c>
      <c r="AQ248">
        <f t="shared" si="6"/>
        <v>34</v>
      </c>
      <c r="AR248">
        <f t="shared" si="7"/>
        <v>2025</v>
      </c>
    </row>
    <row r="249" spans="2:44" x14ac:dyDescent="0.25">
      <c r="B249" t="s">
        <v>263</v>
      </c>
      <c r="C249" t="s">
        <v>139</v>
      </c>
      <c r="E249" t="s">
        <v>100</v>
      </c>
      <c r="F249" t="s">
        <v>158</v>
      </c>
      <c r="H249" t="s">
        <v>355</v>
      </c>
      <c r="K249" t="s">
        <v>44</v>
      </c>
      <c r="L249" t="s">
        <v>59</v>
      </c>
      <c r="M249" t="s">
        <v>59</v>
      </c>
      <c r="N249" s="4">
        <v>45908</v>
      </c>
      <c r="U249" t="s">
        <v>50</v>
      </c>
      <c r="AA249" t="s">
        <v>593</v>
      </c>
      <c r="AD249" t="s">
        <v>668</v>
      </c>
      <c r="AE249" t="s">
        <v>230</v>
      </c>
      <c r="AG249" s="2">
        <v>45943</v>
      </c>
      <c r="AJ249" s="2">
        <v>45908</v>
      </c>
      <c r="AK249" s="4">
        <v>45915</v>
      </c>
      <c r="AL249" t="s">
        <v>162</v>
      </c>
      <c r="AM249" t="s">
        <v>163</v>
      </c>
      <c r="AN249">
        <v>7</v>
      </c>
      <c r="AO249">
        <v>35</v>
      </c>
      <c r="AQ249">
        <f t="shared" si="6"/>
        <v>35</v>
      </c>
      <c r="AR249">
        <f t="shared" si="7"/>
        <v>2025</v>
      </c>
    </row>
    <row r="250" spans="2:44" x14ac:dyDescent="0.25">
      <c r="B250" t="s">
        <v>215</v>
      </c>
      <c r="C250" t="s">
        <v>128</v>
      </c>
      <c r="E250" t="s">
        <v>100</v>
      </c>
      <c r="F250" t="s">
        <v>158</v>
      </c>
      <c r="H250" t="s">
        <v>47</v>
      </c>
      <c r="I250" t="s">
        <v>321</v>
      </c>
      <c r="K250" t="s">
        <v>669</v>
      </c>
      <c r="L250" t="s">
        <v>59</v>
      </c>
      <c r="M250" t="s">
        <v>59</v>
      </c>
      <c r="N250" s="4">
        <v>45908</v>
      </c>
      <c r="U250" t="s">
        <v>50</v>
      </c>
      <c r="AA250" t="s">
        <v>593</v>
      </c>
      <c r="AD250" t="s">
        <v>670</v>
      </c>
      <c r="AE250" t="s">
        <v>669</v>
      </c>
      <c r="AG250" s="2">
        <v>45964</v>
      </c>
      <c r="AJ250" s="2">
        <v>45938</v>
      </c>
      <c r="AK250" s="4">
        <v>45911</v>
      </c>
      <c r="AL250" t="s">
        <v>62</v>
      </c>
      <c r="AM250" t="s">
        <v>163</v>
      </c>
      <c r="AN250">
        <v>-27</v>
      </c>
      <c r="AO250">
        <v>56</v>
      </c>
      <c r="AQ250">
        <f t="shared" si="6"/>
        <v>56</v>
      </c>
      <c r="AR250">
        <f t="shared" si="7"/>
        <v>2025</v>
      </c>
    </row>
    <row r="251" spans="2:44" x14ac:dyDescent="0.25">
      <c r="B251" t="s">
        <v>671</v>
      </c>
      <c r="C251" t="s">
        <v>43</v>
      </c>
      <c r="E251" t="s">
        <v>100</v>
      </c>
      <c r="F251" t="s">
        <v>158</v>
      </c>
      <c r="H251" t="s">
        <v>355</v>
      </c>
      <c r="K251" t="s">
        <v>44</v>
      </c>
      <c r="L251" t="s">
        <v>59</v>
      </c>
      <c r="M251" t="s">
        <v>59</v>
      </c>
      <c r="N251" s="4">
        <v>45943</v>
      </c>
      <c r="U251" t="s">
        <v>50</v>
      </c>
      <c r="AA251" t="s">
        <v>593</v>
      </c>
      <c r="AD251" t="s">
        <v>672</v>
      </c>
      <c r="AE251" t="s">
        <v>230</v>
      </c>
      <c r="AG251" s="2">
        <v>45950</v>
      </c>
      <c r="AJ251" s="2">
        <v>45943</v>
      </c>
      <c r="AK251" s="4">
        <v>45982</v>
      </c>
      <c r="AL251" t="s">
        <v>162</v>
      </c>
      <c r="AM251" t="s">
        <v>163</v>
      </c>
      <c r="AN251">
        <v>39</v>
      </c>
      <c r="AO251">
        <v>7</v>
      </c>
      <c r="AQ251">
        <f t="shared" si="6"/>
        <v>7</v>
      </c>
      <c r="AR251">
        <f t="shared" si="7"/>
        <v>2025</v>
      </c>
    </row>
    <row r="252" spans="2:44" x14ac:dyDescent="0.25">
      <c r="B252" t="s">
        <v>673</v>
      </c>
      <c r="C252" t="s">
        <v>43</v>
      </c>
      <c r="E252" t="s">
        <v>100</v>
      </c>
      <c r="F252" t="s">
        <v>158</v>
      </c>
      <c r="H252" t="s">
        <v>355</v>
      </c>
      <c r="K252" t="s">
        <v>44</v>
      </c>
      <c r="L252" t="s">
        <v>59</v>
      </c>
      <c r="M252" t="s">
        <v>59</v>
      </c>
      <c r="N252" s="4">
        <v>45922</v>
      </c>
      <c r="U252" t="s">
        <v>50</v>
      </c>
      <c r="AA252" t="s">
        <v>149</v>
      </c>
      <c r="AD252" t="s">
        <v>674</v>
      </c>
      <c r="AE252" t="s">
        <v>230</v>
      </c>
      <c r="AG252" s="2">
        <v>45971</v>
      </c>
      <c r="AJ252" s="2">
        <v>45924</v>
      </c>
      <c r="AK252" s="4">
        <v>45939</v>
      </c>
      <c r="AL252" t="s">
        <v>62</v>
      </c>
      <c r="AM252" t="s">
        <v>163</v>
      </c>
      <c r="AN252">
        <v>15</v>
      </c>
      <c r="AO252">
        <v>49</v>
      </c>
      <c r="AQ252">
        <f t="shared" si="6"/>
        <v>49</v>
      </c>
      <c r="AR252">
        <f t="shared" si="7"/>
        <v>2025</v>
      </c>
    </row>
    <row r="253" spans="2:44" x14ac:dyDescent="0.25">
      <c r="C253" t="s">
        <v>139</v>
      </c>
      <c r="AD253" t="s">
        <v>675</v>
      </c>
      <c r="AE253" t="s">
        <v>230</v>
      </c>
      <c r="AN253">
        <v>0</v>
      </c>
      <c r="AO253" t="b">
        <v>0</v>
      </c>
      <c r="AQ253" t="str">
        <f t="shared" si="6"/>
        <v/>
      </c>
      <c r="AR253">
        <f t="shared" si="7"/>
        <v>1900</v>
      </c>
    </row>
    <row r="254" spans="2:44" x14ac:dyDescent="0.25">
      <c r="C254" t="s">
        <v>139</v>
      </c>
      <c r="AD254" t="s">
        <v>676</v>
      </c>
      <c r="AE254" t="s">
        <v>230</v>
      </c>
      <c r="AN254">
        <v>0</v>
      </c>
      <c r="AO254" t="b">
        <v>0</v>
      </c>
      <c r="AQ254" t="str">
        <f t="shared" si="6"/>
        <v/>
      </c>
      <c r="AR254">
        <f t="shared" si="7"/>
        <v>1900</v>
      </c>
    </row>
    <row r="255" spans="2:44" x14ac:dyDescent="0.25">
      <c r="C255" t="s">
        <v>128</v>
      </c>
      <c r="AD255" t="s">
        <v>677</v>
      </c>
      <c r="AE255" t="s">
        <v>230</v>
      </c>
      <c r="AN255">
        <v>0</v>
      </c>
      <c r="AO255" t="b">
        <v>0</v>
      </c>
      <c r="AQ255" t="str">
        <f t="shared" si="6"/>
        <v/>
      </c>
      <c r="AR255">
        <f t="shared" si="7"/>
        <v>1900</v>
      </c>
    </row>
    <row r="256" spans="2:44" x14ac:dyDescent="0.25">
      <c r="C256" t="s">
        <v>43</v>
      </c>
      <c r="AD256" t="s">
        <v>678</v>
      </c>
      <c r="AE256" t="s">
        <v>230</v>
      </c>
      <c r="AN256">
        <v>0</v>
      </c>
      <c r="AO256" t="b">
        <v>0</v>
      </c>
      <c r="AQ256" t="str">
        <f t="shared" si="6"/>
        <v/>
      </c>
      <c r="AR256">
        <f t="shared" si="7"/>
        <v>1900</v>
      </c>
    </row>
    <row r="257" spans="3:44" x14ac:dyDescent="0.25">
      <c r="C257" t="s">
        <v>43</v>
      </c>
      <c r="AD257" t="s">
        <v>679</v>
      </c>
      <c r="AE257" t="s">
        <v>230</v>
      </c>
      <c r="AN257">
        <v>0</v>
      </c>
      <c r="AO257" t="b">
        <v>0</v>
      </c>
      <c r="AQ257" t="str">
        <f t="shared" si="6"/>
        <v/>
      </c>
      <c r="AR257">
        <f t="shared" si="7"/>
        <v>1900</v>
      </c>
    </row>
    <row r="258" spans="3:44" x14ac:dyDescent="0.25">
      <c r="C258" t="s">
        <v>43</v>
      </c>
      <c r="AD258" t="s">
        <v>680</v>
      </c>
      <c r="AE258" t="s">
        <v>230</v>
      </c>
      <c r="AN258">
        <v>0</v>
      </c>
      <c r="AO258" t="b">
        <v>0</v>
      </c>
      <c r="AQ258" t="str">
        <f t="shared" si="6"/>
        <v/>
      </c>
      <c r="AR258">
        <f t="shared" si="7"/>
        <v>1900</v>
      </c>
    </row>
    <row r="259" spans="3:44" x14ac:dyDescent="0.25">
      <c r="C259" t="s">
        <v>128</v>
      </c>
      <c r="AD259" t="s">
        <v>681</v>
      </c>
      <c r="AE259" t="s">
        <v>230</v>
      </c>
      <c r="AN259">
        <v>0</v>
      </c>
      <c r="AO259" t="b">
        <v>0</v>
      </c>
      <c r="AQ259" t="str">
        <f t="shared" ref="AQ259:AQ322" si="8">IF(AND(AO259&gt;=0,AO259&lt;=300),AO259,"")</f>
        <v/>
      </c>
      <c r="AR259">
        <f t="shared" ref="AR259:AR322" si="9">YEAR(N259)</f>
        <v>1900</v>
      </c>
    </row>
    <row r="260" spans="3:44" x14ac:dyDescent="0.25">
      <c r="C260" t="s">
        <v>43</v>
      </c>
      <c r="AD260" t="s">
        <v>682</v>
      </c>
      <c r="AE260" t="s">
        <v>230</v>
      </c>
      <c r="AN260">
        <v>0</v>
      </c>
      <c r="AO260" t="b">
        <v>0</v>
      </c>
      <c r="AQ260" t="str">
        <f t="shared" si="8"/>
        <v/>
      </c>
      <c r="AR260">
        <f t="shared" si="9"/>
        <v>1900</v>
      </c>
    </row>
    <row r="261" spans="3:44" x14ac:dyDescent="0.25">
      <c r="C261" t="s">
        <v>43</v>
      </c>
      <c r="AD261" t="s">
        <v>683</v>
      </c>
      <c r="AE261" t="s">
        <v>230</v>
      </c>
      <c r="AN261">
        <v>0</v>
      </c>
      <c r="AO261" t="b">
        <v>0</v>
      </c>
      <c r="AQ261" t="str">
        <f t="shared" si="8"/>
        <v/>
      </c>
      <c r="AR261">
        <f t="shared" si="9"/>
        <v>1900</v>
      </c>
    </row>
    <row r="262" spans="3:44" x14ac:dyDescent="0.25">
      <c r="C262" t="s">
        <v>43</v>
      </c>
      <c r="AD262" t="s">
        <v>684</v>
      </c>
      <c r="AE262" t="s">
        <v>230</v>
      </c>
      <c r="AN262">
        <v>0</v>
      </c>
      <c r="AO262" t="b">
        <v>0</v>
      </c>
      <c r="AQ262" t="str">
        <f t="shared" si="8"/>
        <v/>
      </c>
      <c r="AR262">
        <f t="shared" si="9"/>
        <v>1900</v>
      </c>
    </row>
    <row r="263" spans="3:44" x14ac:dyDescent="0.25">
      <c r="C263" t="s">
        <v>43</v>
      </c>
      <c r="AD263" t="s">
        <v>685</v>
      </c>
      <c r="AE263" t="s">
        <v>230</v>
      </c>
      <c r="AN263">
        <v>0</v>
      </c>
      <c r="AO263" t="b">
        <v>0</v>
      </c>
      <c r="AQ263" t="str">
        <f t="shared" si="8"/>
        <v/>
      </c>
      <c r="AR263">
        <f t="shared" si="9"/>
        <v>1900</v>
      </c>
    </row>
    <row r="264" spans="3:44" x14ac:dyDescent="0.25">
      <c r="C264" t="s">
        <v>43</v>
      </c>
      <c r="AD264" t="s">
        <v>686</v>
      </c>
      <c r="AE264" t="s">
        <v>230</v>
      </c>
      <c r="AN264">
        <v>0</v>
      </c>
      <c r="AO264" t="b">
        <v>0</v>
      </c>
      <c r="AQ264" t="str">
        <f t="shared" si="8"/>
        <v/>
      </c>
      <c r="AR264">
        <f t="shared" si="9"/>
        <v>1900</v>
      </c>
    </row>
    <row r="265" spans="3:44" x14ac:dyDescent="0.25">
      <c r="C265" t="s">
        <v>43</v>
      </c>
      <c r="AD265" t="s">
        <v>687</v>
      </c>
      <c r="AE265" t="s">
        <v>230</v>
      </c>
      <c r="AN265">
        <v>0</v>
      </c>
      <c r="AO265" t="b">
        <v>0</v>
      </c>
      <c r="AQ265" t="str">
        <f t="shared" si="8"/>
        <v/>
      </c>
      <c r="AR265">
        <f t="shared" si="9"/>
        <v>1900</v>
      </c>
    </row>
    <row r="266" spans="3:44" x14ac:dyDescent="0.25">
      <c r="C266" t="s">
        <v>128</v>
      </c>
      <c r="AD266" t="s">
        <v>688</v>
      </c>
      <c r="AE266" t="s">
        <v>230</v>
      </c>
      <c r="AN266">
        <v>0</v>
      </c>
      <c r="AO266" t="b">
        <v>0</v>
      </c>
      <c r="AQ266" t="str">
        <f t="shared" si="8"/>
        <v/>
      </c>
      <c r="AR266">
        <f t="shared" si="9"/>
        <v>1900</v>
      </c>
    </row>
    <row r="267" spans="3:44" x14ac:dyDescent="0.25">
      <c r="C267" t="s">
        <v>128</v>
      </c>
      <c r="AD267" t="s">
        <v>357</v>
      </c>
      <c r="AE267" t="s">
        <v>230</v>
      </c>
      <c r="AN267">
        <v>0</v>
      </c>
      <c r="AO267" t="b">
        <v>0</v>
      </c>
      <c r="AQ267" t="str">
        <f t="shared" si="8"/>
        <v/>
      </c>
      <c r="AR267">
        <f t="shared" si="9"/>
        <v>1900</v>
      </c>
    </row>
    <row r="268" spans="3:44" x14ac:dyDescent="0.25">
      <c r="C268" t="s">
        <v>43</v>
      </c>
      <c r="AD268" t="s">
        <v>689</v>
      </c>
      <c r="AE268" t="s">
        <v>230</v>
      </c>
      <c r="AN268">
        <v>0</v>
      </c>
      <c r="AO268" t="b">
        <v>0</v>
      </c>
      <c r="AQ268" t="str">
        <f t="shared" si="8"/>
        <v/>
      </c>
      <c r="AR268">
        <f t="shared" si="9"/>
        <v>1900</v>
      </c>
    </row>
    <row r="269" spans="3:44" x14ac:dyDescent="0.25">
      <c r="C269" t="s">
        <v>43</v>
      </c>
      <c r="AD269" t="s">
        <v>690</v>
      </c>
      <c r="AE269" t="s">
        <v>230</v>
      </c>
      <c r="AN269">
        <v>0</v>
      </c>
      <c r="AO269" t="b">
        <v>0</v>
      </c>
      <c r="AQ269" t="str">
        <f t="shared" si="8"/>
        <v/>
      </c>
      <c r="AR269">
        <f t="shared" si="9"/>
        <v>1900</v>
      </c>
    </row>
    <row r="270" spans="3:44" x14ac:dyDescent="0.25">
      <c r="C270" t="s">
        <v>128</v>
      </c>
      <c r="AD270" t="s">
        <v>691</v>
      </c>
      <c r="AE270" t="s">
        <v>230</v>
      </c>
      <c r="AN270">
        <v>0</v>
      </c>
      <c r="AO270" t="b">
        <v>0</v>
      </c>
      <c r="AQ270" t="str">
        <f t="shared" si="8"/>
        <v/>
      </c>
      <c r="AR270">
        <f t="shared" si="9"/>
        <v>1900</v>
      </c>
    </row>
    <row r="271" spans="3:44" x14ac:dyDescent="0.25">
      <c r="C271" t="s">
        <v>43</v>
      </c>
      <c r="AD271" t="s">
        <v>692</v>
      </c>
      <c r="AE271" t="s">
        <v>230</v>
      </c>
      <c r="AN271">
        <v>0</v>
      </c>
      <c r="AO271" t="b">
        <v>0</v>
      </c>
      <c r="AQ271" t="str">
        <f t="shared" si="8"/>
        <v/>
      </c>
      <c r="AR271">
        <f t="shared" si="9"/>
        <v>1900</v>
      </c>
    </row>
    <row r="272" spans="3:44" x14ac:dyDescent="0.25">
      <c r="C272" t="s">
        <v>128</v>
      </c>
      <c r="AD272" t="s">
        <v>693</v>
      </c>
      <c r="AE272" t="s">
        <v>230</v>
      </c>
      <c r="AN272">
        <v>0</v>
      </c>
      <c r="AO272" t="b">
        <v>0</v>
      </c>
      <c r="AQ272" t="str">
        <f t="shared" si="8"/>
        <v/>
      </c>
      <c r="AR272">
        <f t="shared" si="9"/>
        <v>1900</v>
      </c>
    </row>
    <row r="273" spans="3:44" x14ac:dyDescent="0.25">
      <c r="C273" t="s">
        <v>43</v>
      </c>
      <c r="AD273" t="s">
        <v>694</v>
      </c>
      <c r="AE273" t="s">
        <v>230</v>
      </c>
      <c r="AN273">
        <v>0</v>
      </c>
      <c r="AO273" t="b">
        <v>0</v>
      </c>
      <c r="AQ273" t="str">
        <f t="shared" si="8"/>
        <v/>
      </c>
      <c r="AR273">
        <f t="shared" si="9"/>
        <v>1900</v>
      </c>
    </row>
    <row r="274" spans="3:44" x14ac:dyDescent="0.25">
      <c r="C274" t="s">
        <v>43</v>
      </c>
      <c r="AD274" t="s">
        <v>638</v>
      </c>
      <c r="AE274" t="s">
        <v>230</v>
      </c>
      <c r="AN274">
        <v>0</v>
      </c>
      <c r="AO274" t="b">
        <v>0</v>
      </c>
      <c r="AQ274" t="str">
        <f t="shared" si="8"/>
        <v/>
      </c>
      <c r="AR274">
        <f t="shared" si="9"/>
        <v>1900</v>
      </c>
    </row>
    <row r="275" spans="3:44" x14ac:dyDescent="0.25">
      <c r="AN275">
        <v>0</v>
      </c>
      <c r="AO275" t="b">
        <v>0</v>
      </c>
      <c r="AQ275" t="str">
        <f t="shared" si="8"/>
        <v/>
      </c>
      <c r="AR275">
        <f t="shared" si="9"/>
        <v>1900</v>
      </c>
    </row>
    <row r="276" spans="3:44" x14ac:dyDescent="0.25">
      <c r="AN276">
        <v>0</v>
      </c>
      <c r="AO276" t="b">
        <v>0</v>
      </c>
      <c r="AQ276" t="str">
        <f t="shared" si="8"/>
        <v/>
      </c>
      <c r="AR276">
        <f t="shared" si="9"/>
        <v>1900</v>
      </c>
    </row>
    <row r="277" spans="3:44" x14ac:dyDescent="0.25">
      <c r="AN277">
        <v>0</v>
      </c>
      <c r="AO277" t="b">
        <v>0</v>
      </c>
      <c r="AQ277" t="str">
        <f t="shared" si="8"/>
        <v/>
      </c>
      <c r="AR277">
        <f t="shared" si="9"/>
        <v>1900</v>
      </c>
    </row>
    <row r="278" spans="3:44" x14ac:dyDescent="0.25">
      <c r="AN278">
        <v>0</v>
      </c>
      <c r="AO278" t="b">
        <v>0</v>
      </c>
      <c r="AQ278" t="str">
        <f t="shared" si="8"/>
        <v/>
      </c>
      <c r="AR278">
        <f t="shared" si="9"/>
        <v>1900</v>
      </c>
    </row>
    <row r="279" spans="3:44" x14ac:dyDescent="0.25">
      <c r="AN279">
        <v>0</v>
      </c>
      <c r="AO279" t="b">
        <v>0</v>
      </c>
      <c r="AQ279" t="str">
        <f t="shared" si="8"/>
        <v/>
      </c>
      <c r="AR279">
        <f t="shared" si="9"/>
        <v>1900</v>
      </c>
    </row>
    <row r="280" spans="3:44" x14ac:dyDescent="0.25">
      <c r="AN280">
        <v>0</v>
      </c>
      <c r="AO280" t="b">
        <v>0</v>
      </c>
      <c r="AQ280" t="str">
        <f t="shared" si="8"/>
        <v/>
      </c>
      <c r="AR280">
        <f t="shared" si="9"/>
        <v>1900</v>
      </c>
    </row>
    <row r="281" spans="3:44" x14ac:dyDescent="0.25">
      <c r="AN281">
        <v>0</v>
      </c>
      <c r="AO281" t="b">
        <v>0</v>
      </c>
      <c r="AQ281" t="str">
        <f t="shared" si="8"/>
        <v/>
      </c>
      <c r="AR281">
        <f t="shared" si="9"/>
        <v>1900</v>
      </c>
    </row>
    <row r="282" spans="3:44" x14ac:dyDescent="0.25">
      <c r="AN282">
        <v>0</v>
      </c>
      <c r="AO282" t="b">
        <v>0</v>
      </c>
      <c r="AQ282" t="str">
        <f t="shared" si="8"/>
        <v/>
      </c>
      <c r="AR282">
        <f t="shared" si="9"/>
        <v>1900</v>
      </c>
    </row>
    <row r="283" spans="3:44" x14ac:dyDescent="0.25">
      <c r="AN283">
        <v>0</v>
      </c>
      <c r="AO283" t="b">
        <v>0</v>
      </c>
      <c r="AQ283" t="str">
        <f t="shared" si="8"/>
        <v/>
      </c>
      <c r="AR283">
        <f t="shared" si="9"/>
        <v>1900</v>
      </c>
    </row>
    <row r="284" spans="3:44" x14ac:dyDescent="0.25">
      <c r="AN284">
        <v>0</v>
      </c>
      <c r="AO284" t="b">
        <v>0</v>
      </c>
      <c r="AQ284" t="str">
        <f t="shared" si="8"/>
        <v/>
      </c>
      <c r="AR284">
        <f t="shared" si="9"/>
        <v>1900</v>
      </c>
    </row>
    <row r="285" spans="3:44" x14ac:dyDescent="0.25">
      <c r="AN285">
        <v>0</v>
      </c>
      <c r="AO285" t="b">
        <v>0</v>
      </c>
      <c r="AQ285" t="str">
        <f t="shared" si="8"/>
        <v/>
      </c>
      <c r="AR285">
        <f t="shared" si="9"/>
        <v>1900</v>
      </c>
    </row>
    <row r="286" spans="3:44" x14ac:dyDescent="0.25">
      <c r="AN286">
        <v>0</v>
      </c>
      <c r="AO286" t="b">
        <v>0</v>
      </c>
      <c r="AQ286" t="str">
        <f t="shared" si="8"/>
        <v/>
      </c>
      <c r="AR286">
        <f t="shared" si="9"/>
        <v>1900</v>
      </c>
    </row>
    <row r="287" spans="3:44" x14ac:dyDescent="0.25">
      <c r="AN287">
        <v>0</v>
      </c>
      <c r="AO287" t="b">
        <v>0</v>
      </c>
      <c r="AQ287" t="str">
        <f t="shared" si="8"/>
        <v/>
      </c>
      <c r="AR287">
        <f t="shared" si="9"/>
        <v>1900</v>
      </c>
    </row>
    <row r="288" spans="3:44" x14ac:dyDescent="0.25">
      <c r="AN288">
        <v>0</v>
      </c>
      <c r="AO288" t="b">
        <v>0</v>
      </c>
      <c r="AQ288" t="str">
        <f t="shared" si="8"/>
        <v/>
      </c>
      <c r="AR288">
        <f t="shared" si="9"/>
        <v>1900</v>
      </c>
    </row>
    <row r="289" spans="40:44" x14ac:dyDescent="0.25">
      <c r="AN289">
        <v>0</v>
      </c>
      <c r="AO289" t="b">
        <v>0</v>
      </c>
      <c r="AQ289" t="str">
        <f t="shared" si="8"/>
        <v/>
      </c>
      <c r="AR289">
        <f t="shared" si="9"/>
        <v>1900</v>
      </c>
    </row>
    <row r="290" spans="40:44" x14ac:dyDescent="0.25">
      <c r="AN290">
        <v>0</v>
      </c>
      <c r="AO290" t="b">
        <v>0</v>
      </c>
      <c r="AQ290" t="str">
        <f t="shared" si="8"/>
        <v/>
      </c>
      <c r="AR290">
        <f t="shared" si="9"/>
        <v>1900</v>
      </c>
    </row>
    <row r="291" spans="40:44" x14ac:dyDescent="0.25">
      <c r="AN291">
        <v>0</v>
      </c>
      <c r="AO291" t="b">
        <v>0</v>
      </c>
      <c r="AQ291" t="str">
        <f t="shared" si="8"/>
        <v/>
      </c>
      <c r="AR291">
        <f t="shared" si="9"/>
        <v>1900</v>
      </c>
    </row>
    <row r="292" spans="40:44" x14ac:dyDescent="0.25">
      <c r="AN292">
        <v>0</v>
      </c>
      <c r="AO292" t="b">
        <v>0</v>
      </c>
      <c r="AQ292" t="str">
        <f t="shared" si="8"/>
        <v/>
      </c>
      <c r="AR292">
        <f t="shared" si="9"/>
        <v>1900</v>
      </c>
    </row>
    <row r="293" spans="40:44" x14ac:dyDescent="0.25">
      <c r="AN293">
        <v>0</v>
      </c>
      <c r="AO293" t="b">
        <v>0</v>
      </c>
      <c r="AQ293" t="str">
        <f t="shared" si="8"/>
        <v/>
      </c>
      <c r="AR293">
        <f t="shared" si="9"/>
        <v>1900</v>
      </c>
    </row>
    <row r="294" spans="40:44" x14ac:dyDescent="0.25">
      <c r="AN294">
        <v>0</v>
      </c>
      <c r="AO294" t="b">
        <v>0</v>
      </c>
      <c r="AQ294" t="str">
        <f t="shared" si="8"/>
        <v/>
      </c>
      <c r="AR294">
        <f t="shared" si="9"/>
        <v>1900</v>
      </c>
    </row>
    <row r="295" spans="40:44" x14ac:dyDescent="0.25">
      <c r="AN295">
        <v>0</v>
      </c>
      <c r="AO295" t="b">
        <v>0</v>
      </c>
      <c r="AQ295" t="str">
        <f t="shared" si="8"/>
        <v/>
      </c>
      <c r="AR295">
        <f t="shared" si="9"/>
        <v>1900</v>
      </c>
    </row>
    <row r="296" spans="40:44" x14ac:dyDescent="0.25">
      <c r="AN296">
        <v>0</v>
      </c>
      <c r="AO296" t="b">
        <v>0</v>
      </c>
      <c r="AQ296" t="str">
        <f t="shared" si="8"/>
        <v/>
      </c>
      <c r="AR296">
        <f t="shared" si="9"/>
        <v>1900</v>
      </c>
    </row>
    <row r="297" spans="40:44" x14ac:dyDescent="0.25">
      <c r="AN297">
        <v>0</v>
      </c>
      <c r="AO297" t="b">
        <v>0</v>
      </c>
      <c r="AQ297" t="str">
        <f t="shared" si="8"/>
        <v/>
      </c>
      <c r="AR297">
        <f t="shared" si="9"/>
        <v>1900</v>
      </c>
    </row>
    <row r="298" spans="40:44" x14ac:dyDescent="0.25">
      <c r="AN298">
        <v>0</v>
      </c>
      <c r="AO298" t="b">
        <v>0</v>
      </c>
      <c r="AQ298" t="str">
        <f t="shared" si="8"/>
        <v/>
      </c>
      <c r="AR298">
        <f t="shared" si="9"/>
        <v>1900</v>
      </c>
    </row>
    <row r="299" spans="40:44" x14ac:dyDescent="0.25">
      <c r="AN299">
        <v>0</v>
      </c>
      <c r="AO299" t="b">
        <v>0</v>
      </c>
      <c r="AQ299" t="str">
        <f t="shared" si="8"/>
        <v/>
      </c>
      <c r="AR299">
        <f t="shared" si="9"/>
        <v>1900</v>
      </c>
    </row>
    <row r="300" spans="40:44" x14ac:dyDescent="0.25">
      <c r="AN300">
        <v>0</v>
      </c>
      <c r="AO300" t="b">
        <v>0</v>
      </c>
      <c r="AQ300" t="str">
        <f t="shared" si="8"/>
        <v/>
      </c>
      <c r="AR300">
        <f t="shared" si="9"/>
        <v>1900</v>
      </c>
    </row>
    <row r="301" spans="40:44" x14ac:dyDescent="0.25">
      <c r="AN301">
        <v>0</v>
      </c>
      <c r="AO301" t="b">
        <v>0</v>
      </c>
      <c r="AQ301" t="str">
        <f t="shared" si="8"/>
        <v/>
      </c>
      <c r="AR301">
        <f t="shared" si="9"/>
        <v>1900</v>
      </c>
    </row>
    <row r="302" spans="40:44" x14ac:dyDescent="0.25">
      <c r="AN302">
        <v>0</v>
      </c>
      <c r="AO302" t="b">
        <v>0</v>
      </c>
      <c r="AQ302" t="str">
        <f t="shared" si="8"/>
        <v/>
      </c>
      <c r="AR302">
        <f t="shared" si="9"/>
        <v>1900</v>
      </c>
    </row>
    <row r="303" spans="40:44" x14ac:dyDescent="0.25">
      <c r="AN303">
        <v>0</v>
      </c>
      <c r="AO303" t="b">
        <v>0</v>
      </c>
      <c r="AQ303" t="str">
        <f t="shared" si="8"/>
        <v/>
      </c>
      <c r="AR303">
        <f t="shared" si="9"/>
        <v>1900</v>
      </c>
    </row>
    <row r="304" spans="40:44" x14ac:dyDescent="0.25">
      <c r="AN304">
        <v>0</v>
      </c>
      <c r="AO304" t="b">
        <v>0</v>
      </c>
      <c r="AQ304" t="str">
        <f t="shared" si="8"/>
        <v/>
      </c>
      <c r="AR304">
        <f t="shared" si="9"/>
        <v>1900</v>
      </c>
    </row>
    <row r="305" spans="40:44" x14ac:dyDescent="0.25">
      <c r="AN305">
        <v>0</v>
      </c>
      <c r="AO305" t="b">
        <v>0</v>
      </c>
      <c r="AQ305" t="str">
        <f t="shared" si="8"/>
        <v/>
      </c>
      <c r="AR305">
        <f t="shared" si="9"/>
        <v>1900</v>
      </c>
    </row>
    <row r="306" spans="40:44" x14ac:dyDescent="0.25">
      <c r="AN306">
        <v>0</v>
      </c>
      <c r="AO306" t="b">
        <v>0</v>
      </c>
      <c r="AQ306" t="str">
        <f t="shared" si="8"/>
        <v/>
      </c>
      <c r="AR306">
        <f t="shared" si="9"/>
        <v>1900</v>
      </c>
    </row>
    <row r="307" spans="40:44" x14ac:dyDescent="0.25">
      <c r="AN307">
        <v>0</v>
      </c>
      <c r="AQ307">
        <f t="shared" si="8"/>
        <v>0</v>
      </c>
      <c r="AR307">
        <f t="shared" si="9"/>
        <v>1900</v>
      </c>
    </row>
    <row r="308" spans="40:44" x14ac:dyDescent="0.25">
      <c r="AN308">
        <v>0</v>
      </c>
      <c r="AQ308">
        <f t="shared" si="8"/>
        <v>0</v>
      </c>
      <c r="AR308">
        <f t="shared" si="9"/>
        <v>1900</v>
      </c>
    </row>
    <row r="309" spans="40:44" x14ac:dyDescent="0.25">
      <c r="AN309">
        <v>0</v>
      </c>
      <c r="AQ309">
        <f t="shared" si="8"/>
        <v>0</v>
      </c>
      <c r="AR309">
        <f t="shared" si="9"/>
        <v>1900</v>
      </c>
    </row>
    <row r="310" spans="40:44" x14ac:dyDescent="0.25">
      <c r="AN310">
        <v>0</v>
      </c>
      <c r="AQ310">
        <f t="shared" si="8"/>
        <v>0</v>
      </c>
      <c r="AR310">
        <f t="shared" si="9"/>
        <v>1900</v>
      </c>
    </row>
    <row r="311" spans="40:44" x14ac:dyDescent="0.25">
      <c r="AN311">
        <v>0</v>
      </c>
      <c r="AQ311">
        <f t="shared" si="8"/>
        <v>0</v>
      </c>
      <c r="AR311">
        <f t="shared" si="9"/>
        <v>1900</v>
      </c>
    </row>
    <row r="312" spans="40:44" x14ac:dyDescent="0.25">
      <c r="AN312">
        <v>0</v>
      </c>
      <c r="AQ312">
        <f t="shared" si="8"/>
        <v>0</v>
      </c>
      <c r="AR312">
        <f t="shared" si="9"/>
        <v>1900</v>
      </c>
    </row>
    <row r="313" spans="40:44" x14ac:dyDescent="0.25">
      <c r="AN313">
        <v>0</v>
      </c>
      <c r="AQ313">
        <f t="shared" si="8"/>
        <v>0</v>
      </c>
      <c r="AR313">
        <f t="shared" si="9"/>
        <v>1900</v>
      </c>
    </row>
    <row r="314" spans="40:44" x14ac:dyDescent="0.25">
      <c r="AN314">
        <v>0</v>
      </c>
      <c r="AQ314">
        <f t="shared" si="8"/>
        <v>0</v>
      </c>
      <c r="AR314">
        <f t="shared" si="9"/>
        <v>1900</v>
      </c>
    </row>
    <row r="315" spans="40:44" x14ac:dyDescent="0.25">
      <c r="AN315">
        <v>0</v>
      </c>
      <c r="AQ315">
        <f t="shared" si="8"/>
        <v>0</v>
      </c>
      <c r="AR315">
        <f t="shared" si="9"/>
        <v>1900</v>
      </c>
    </row>
    <row r="316" spans="40:44" x14ac:dyDescent="0.25">
      <c r="AN316">
        <v>0</v>
      </c>
      <c r="AQ316">
        <f t="shared" si="8"/>
        <v>0</v>
      </c>
      <c r="AR316">
        <f t="shared" si="9"/>
        <v>1900</v>
      </c>
    </row>
    <row r="317" spans="40:44" x14ac:dyDescent="0.25">
      <c r="AN317">
        <v>0</v>
      </c>
      <c r="AQ317">
        <f t="shared" si="8"/>
        <v>0</v>
      </c>
      <c r="AR317">
        <f t="shared" si="9"/>
        <v>1900</v>
      </c>
    </row>
    <row r="318" spans="40:44" x14ac:dyDescent="0.25">
      <c r="AN318">
        <v>0</v>
      </c>
      <c r="AQ318">
        <f t="shared" si="8"/>
        <v>0</v>
      </c>
      <c r="AR318">
        <f t="shared" si="9"/>
        <v>1900</v>
      </c>
    </row>
    <row r="319" spans="40:44" x14ac:dyDescent="0.25">
      <c r="AN319">
        <v>0</v>
      </c>
      <c r="AQ319">
        <f t="shared" si="8"/>
        <v>0</v>
      </c>
      <c r="AR319">
        <f t="shared" si="9"/>
        <v>1900</v>
      </c>
    </row>
    <row r="320" spans="40:44" x14ac:dyDescent="0.25">
      <c r="AN320">
        <v>0</v>
      </c>
      <c r="AQ320">
        <f t="shared" si="8"/>
        <v>0</v>
      </c>
      <c r="AR320">
        <f t="shared" si="9"/>
        <v>1900</v>
      </c>
    </row>
    <row r="321" spans="40:44" x14ac:dyDescent="0.25">
      <c r="AN321">
        <v>0</v>
      </c>
      <c r="AQ321">
        <f t="shared" si="8"/>
        <v>0</v>
      </c>
      <c r="AR321">
        <f t="shared" si="9"/>
        <v>1900</v>
      </c>
    </row>
    <row r="322" spans="40:44" x14ac:dyDescent="0.25">
      <c r="AN322">
        <v>0</v>
      </c>
      <c r="AQ322">
        <f t="shared" si="8"/>
        <v>0</v>
      </c>
      <c r="AR322">
        <f t="shared" si="9"/>
        <v>1900</v>
      </c>
    </row>
    <row r="323" spans="40:44" x14ac:dyDescent="0.25">
      <c r="AN323">
        <v>0</v>
      </c>
      <c r="AQ323">
        <f t="shared" ref="AQ323:AQ365" si="10">IF(AND(AO323&gt;=0,AO323&lt;=300),AO323,"")</f>
        <v>0</v>
      </c>
      <c r="AR323">
        <f t="shared" ref="AR323:AR365" si="11">YEAR(N323)</f>
        <v>1900</v>
      </c>
    </row>
    <row r="324" spans="40:44" x14ac:dyDescent="0.25">
      <c r="AN324">
        <v>0</v>
      </c>
      <c r="AQ324">
        <f t="shared" si="10"/>
        <v>0</v>
      </c>
      <c r="AR324">
        <f t="shared" si="11"/>
        <v>1900</v>
      </c>
    </row>
    <row r="325" spans="40:44" x14ac:dyDescent="0.25">
      <c r="AN325">
        <v>0</v>
      </c>
      <c r="AQ325">
        <f t="shared" si="10"/>
        <v>0</v>
      </c>
      <c r="AR325">
        <f t="shared" si="11"/>
        <v>1900</v>
      </c>
    </row>
    <row r="326" spans="40:44" x14ac:dyDescent="0.25">
      <c r="AN326">
        <v>0</v>
      </c>
      <c r="AQ326">
        <f t="shared" si="10"/>
        <v>0</v>
      </c>
      <c r="AR326">
        <f t="shared" si="11"/>
        <v>1900</v>
      </c>
    </row>
    <row r="327" spans="40:44" x14ac:dyDescent="0.25">
      <c r="AN327">
        <v>0</v>
      </c>
      <c r="AQ327">
        <f t="shared" si="10"/>
        <v>0</v>
      </c>
      <c r="AR327">
        <f t="shared" si="11"/>
        <v>1900</v>
      </c>
    </row>
    <row r="328" spans="40:44" x14ac:dyDescent="0.25">
      <c r="AN328">
        <v>0</v>
      </c>
      <c r="AQ328">
        <f t="shared" si="10"/>
        <v>0</v>
      </c>
      <c r="AR328">
        <f t="shared" si="11"/>
        <v>1900</v>
      </c>
    </row>
    <row r="329" spans="40:44" x14ac:dyDescent="0.25">
      <c r="AN329">
        <v>0</v>
      </c>
      <c r="AQ329">
        <f t="shared" si="10"/>
        <v>0</v>
      </c>
      <c r="AR329">
        <f t="shared" si="11"/>
        <v>1900</v>
      </c>
    </row>
    <row r="330" spans="40:44" x14ac:dyDescent="0.25">
      <c r="AN330">
        <v>0</v>
      </c>
      <c r="AQ330">
        <f t="shared" si="10"/>
        <v>0</v>
      </c>
      <c r="AR330">
        <f t="shared" si="11"/>
        <v>1900</v>
      </c>
    </row>
    <row r="331" spans="40:44" x14ac:dyDescent="0.25">
      <c r="AN331">
        <v>0</v>
      </c>
      <c r="AQ331">
        <f t="shared" si="10"/>
        <v>0</v>
      </c>
      <c r="AR331">
        <f t="shared" si="11"/>
        <v>1900</v>
      </c>
    </row>
    <row r="332" spans="40:44" x14ac:dyDescent="0.25">
      <c r="AN332">
        <v>0</v>
      </c>
      <c r="AQ332">
        <f t="shared" si="10"/>
        <v>0</v>
      </c>
      <c r="AR332">
        <f t="shared" si="11"/>
        <v>1900</v>
      </c>
    </row>
    <row r="333" spans="40:44" x14ac:dyDescent="0.25">
      <c r="AN333">
        <v>0</v>
      </c>
      <c r="AQ333">
        <f t="shared" si="10"/>
        <v>0</v>
      </c>
      <c r="AR333">
        <f t="shared" si="11"/>
        <v>1900</v>
      </c>
    </row>
    <row r="334" spans="40:44" x14ac:dyDescent="0.25">
      <c r="AN334">
        <v>0</v>
      </c>
      <c r="AQ334">
        <f t="shared" si="10"/>
        <v>0</v>
      </c>
      <c r="AR334">
        <f t="shared" si="11"/>
        <v>1900</v>
      </c>
    </row>
    <row r="335" spans="40:44" x14ac:dyDescent="0.25">
      <c r="AN335">
        <v>0</v>
      </c>
      <c r="AQ335">
        <f t="shared" si="10"/>
        <v>0</v>
      </c>
      <c r="AR335">
        <f t="shared" si="11"/>
        <v>1900</v>
      </c>
    </row>
    <row r="336" spans="40:44" x14ac:dyDescent="0.25">
      <c r="AN336">
        <v>0</v>
      </c>
      <c r="AQ336">
        <f t="shared" si="10"/>
        <v>0</v>
      </c>
      <c r="AR336">
        <f t="shared" si="11"/>
        <v>1900</v>
      </c>
    </row>
    <row r="337" spans="40:44" x14ac:dyDescent="0.25">
      <c r="AN337">
        <v>0</v>
      </c>
      <c r="AQ337">
        <f t="shared" si="10"/>
        <v>0</v>
      </c>
      <c r="AR337">
        <f t="shared" si="11"/>
        <v>1900</v>
      </c>
    </row>
    <row r="338" spans="40:44" x14ac:dyDescent="0.25">
      <c r="AN338">
        <v>0</v>
      </c>
      <c r="AQ338">
        <f t="shared" si="10"/>
        <v>0</v>
      </c>
      <c r="AR338">
        <f t="shared" si="11"/>
        <v>1900</v>
      </c>
    </row>
    <row r="339" spans="40:44" x14ac:dyDescent="0.25">
      <c r="AN339">
        <v>0</v>
      </c>
      <c r="AQ339">
        <f t="shared" si="10"/>
        <v>0</v>
      </c>
      <c r="AR339">
        <f t="shared" si="11"/>
        <v>1900</v>
      </c>
    </row>
    <row r="340" spans="40:44" x14ac:dyDescent="0.25">
      <c r="AN340">
        <v>0</v>
      </c>
      <c r="AQ340">
        <f t="shared" si="10"/>
        <v>0</v>
      </c>
      <c r="AR340">
        <f t="shared" si="11"/>
        <v>1900</v>
      </c>
    </row>
    <row r="341" spans="40:44" x14ac:dyDescent="0.25">
      <c r="AN341">
        <v>0</v>
      </c>
      <c r="AQ341">
        <f t="shared" si="10"/>
        <v>0</v>
      </c>
      <c r="AR341">
        <f t="shared" si="11"/>
        <v>1900</v>
      </c>
    </row>
    <row r="342" spans="40:44" x14ac:dyDescent="0.25">
      <c r="AN342">
        <v>0</v>
      </c>
      <c r="AQ342">
        <f t="shared" si="10"/>
        <v>0</v>
      </c>
      <c r="AR342">
        <f t="shared" si="11"/>
        <v>1900</v>
      </c>
    </row>
    <row r="343" spans="40:44" x14ac:dyDescent="0.25">
      <c r="AN343">
        <v>0</v>
      </c>
      <c r="AQ343">
        <f t="shared" si="10"/>
        <v>0</v>
      </c>
      <c r="AR343">
        <f t="shared" si="11"/>
        <v>1900</v>
      </c>
    </row>
    <row r="344" spans="40:44" x14ac:dyDescent="0.25">
      <c r="AN344">
        <v>0</v>
      </c>
      <c r="AQ344">
        <f t="shared" si="10"/>
        <v>0</v>
      </c>
      <c r="AR344">
        <f t="shared" si="11"/>
        <v>1900</v>
      </c>
    </row>
    <row r="345" spans="40:44" x14ac:dyDescent="0.25">
      <c r="AN345">
        <v>0</v>
      </c>
      <c r="AQ345">
        <f t="shared" si="10"/>
        <v>0</v>
      </c>
      <c r="AR345">
        <f t="shared" si="11"/>
        <v>1900</v>
      </c>
    </row>
    <row r="346" spans="40:44" x14ac:dyDescent="0.25">
      <c r="AN346">
        <v>0</v>
      </c>
      <c r="AQ346">
        <f t="shared" si="10"/>
        <v>0</v>
      </c>
      <c r="AR346">
        <f t="shared" si="11"/>
        <v>1900</v>
      </c>
    </row>
    <row r="347" spans="40:44" x14ac:dyDescent="0.25">
      <c r="AN347">
        <v>0</v>
      </c>
      <c r="AQ347">
        <f t="shared" si="10"/>
        <v>0</v>
      </c>
      <c r="AR347">
        <f t="shared" si="11"/>
        <v>1900</v>
      </c>
    </row>
    <row r="348" spans="40:44" x14ac:dyDescent="0.25">
      <c r="AN348">
        <v>0</v>
      </c>
      <c r="AQ348">
        <f t="shared" si="10"/>
        <v>0</v>
      </c>
      <c r="AR348">
        <f t="shared" si="11"/>
        <v>1900</v>
      </c>
    </row>
    <row r="349" spans="40:44" x14ac:dyDescent="0.25">
      <c r="AN349">
        <v>0</v>
      </c>
      <c r="AQ349">
        <f t="shared" si="10"/>
        <v>0</v>
      </c>
      <c r="AR349">
        <f t="shared" si="11"/>
        <v>1900</v>
      </c>
    </row>
    <row r="350" spans="40:44" x14ac:dyDescent="0.25">
      <c r="AN350">
        <v>0</v>
      </c>
      <c r="AQ350">
        <f t="shared" si="10"/>
        <v>0</v>
      </c>
      <c r="AR350">
        <f t="shared" si="11"/>
        <v>1900</v>
      </c>
    </row>
    <row r="351" spans="40:44" x14ac:dyDescent="0.25">
      <c r="AN351">
        <v>0</v>
      </c>
      <c r="AQ351">
        <f t="shared" si="10"/>
        <v>0</v>
      </c>
      <c r="AR351">
        <f t="shared" si="11"/>
        <v>1900</v>
      </c>
    </row>
    <row r="352" spans="40:44" x14ac:dyDescent="0.25">
      <c r="AN352">
        <v>0</v>
      </c>
      <c r="AQ352">
        <f t="shared" si="10"/>
        <v>0</v>
      </c>
      <c r="AR352">
        <f t="shared" si="11"/>
        <v>1900</v>
      </c>
    </row>
    <row r="353" spans="40:44" x14ac:dyDescent="0.25">
      <c r="AN353">
        <v>0</v>
      </c>
      <c r="AQ353">
        <f t="shared" si="10"/>
        <v>0</v>
      </c>
      <c r="AR353">
        <f t="shared" si="11"/>
        <v>1900</v>
      </c>
    </row>
    <row r="354" spans="40:44" x14ac:dyDescent="0.25">
      <c r="AN354">
        <v>0</v>
      </c>
      <c r="AQ354">
        <f t="shared" si="10"/>
        <v>0</v>
      </c>
      <c r="AR354">
        <f t="shared" si="11"/>
        <v>1900</v>
      </c>
    </row>
    <row r="355" spans="40:44" x14ac:dyDescent="0.25">
      <c r="AN355">
        <v>0</v>
      </c>
      <c r="AQ355">
        <f t="shared" si="10"/>
        <v>0</v>
      </c>
      <c r="AR355">
        <f t="shared" si="11"/>
        <v>1900</v>
      </c>
    </row>
    <row r="356" spans="40:44" x14ac:dyDescent="0.25">
      <c r="AN356">
        <v>0</v>
      </c>
      <c r="AQ356">
        <f t="shared" si="10"/>
        <v>0</v>
      </c>
      <c r="AR356">
        <f t="shared" si="11"/>
        <v>1900</v>
      </c>
    </row>
    <row r="357" spans="40:44" x14ac:dyDescent="0.25">
      <c r="AN357">
        <v>0</v>
      </c>
      <c r="AQ357">
        <f t="shared" si="10"/>
        <v>0</v>
      </c>
      <c r="AR357">
        <f t="shared" si="11"/>
        <v>1900</v>
      </c>
    </row>
    <row r="358" spans="40:44" x14ac:dyDescent="0.25">
      <c r="AN358">
        <v>0</v>
      </c>
      <c r="AQ358">
        <f t="shared" si="10"/>
        <v>0</v>
      </c>
      <c r="AR358">
        <f t="shared" si="11"/>
        <v>1900</v>
      </c>
    </row>
    <row r="359" spans="40:44" x14ac:dyDescent="0.25">
      <c r="AN359">
        <v>0</v>
      </c>
      <c r="AQ359">
        <f t="shared" si="10"/>
        <v>0</v>
      </c>
      <c r="AR359">
        <f t="shared" si="11"/>
        <v>1900</v>
      </c>
    </row>
    <row r="360" spans="40:44" x14ac:dyDescent="0.25">
      <c r="AN360">
        <v>0</v>
      </c>
      <c r="AQ360">
        <f t="shared" si="10"/>
        <v>0</v>
      </c>
      <c r="AR360">
        <f t="shared" si="11"/>
        <v>1900</v>
      </c>
    </row>
    <row r="361" spans="40:44" x14ac:dyDescent="0.25">
      <c r="AN361">
        <v>0</v>
      </c>
      <c r="AQ361">
        <f t="shared" si="10"/>
        <v>0</v>
      </c>
      <c r="AR361">
        <f t="shared" si="11"/>
        <v>1900</v>
      </c>
    </row>
    <row r="362" spans="40:44" x14ac:dyDescent="0.25">
      <c r="AN362">
        <v>0</v>
      </c>
      <c r="AQ362">
        <f t="shared" si="10"/>
        <v>0</v>
      </c>
      <c r="AR362">
        <f t="shared" si="11"/>
        <v>1900</v>
      </c>
    </row>
    <row r="363" spans="40:44" x14ac:dyDescent="0.25">
      <c r="AN363">
        <v>0</v>
      </c>
      <c r="AQ363">
        <f t="shared" si="10"/>
        <v>0</v>
      </c>
      <c r="AR363">
        <f t="shared" si="11"/>
        <v>1900</v>
      </c>
    </row>
    <row r="364" spans="40:44" x14ac:dyDescent="0.25">
      <c r="AN364">
        <v>0</v>
      </c>
      <c r="AQ364">
        <f t="shared" si="10"/>
        <v>0</v>
      </c>
      <c r="AR364">
        <f t="shared" si="11"/>
        <v>1900</v>
      </c>
    </row>
    <row r="365" spans="40:44" x14ac:dyDescent="0.25">
      <c r="AN365">
        <v>0</v>
      </c>
      <c r="AQ365">
        <f t="shared" si="10"/>
        <v>0</v>
      </c>
      <c r="AR365">
        <f t="shared" si="11"/>
        <v>1900</v>
      </c>
    </row>
  </sheetData>
  <autoFilter ref="AR1:AR365"/>
  <mergeCells count="9">
    <mergeCell ref="AS1:AX1"/>
    <mergeCell ref="AS2:AX2"/>
    <mergeCell ref="AS3:AX3"/>
    <mergeCell ref="AS4:AX4"/>
    <mergeCell ref="AS5:AX5"/>
    <mergeCell ref="AS6:AX6"/>
    <mergeCell ref="AS7:AX7"/>
    <mergeCell ref="AS8:AX8"/>
    <mergeCell ref="AS9:AX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Recruitment Tracker(ERF)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</dc:creator>
  <cp:lastModifiedBy>Dell</cp:lastModifiedBy>
  <dcterms:created xsi:type="dcterms:W3CDTF">2025-12-31T07:57:21Z</dcterms:created>
  <dcterms:modified xsi:type="dcterms:W3CDTF">2025-12-31T07:57:49Z</dcterms:modified>
</cp:coreProperties>
</file>