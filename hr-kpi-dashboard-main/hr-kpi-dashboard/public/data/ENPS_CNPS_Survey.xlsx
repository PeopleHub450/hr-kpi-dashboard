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6900"/>
  </bookViews>
  <sheets>
    <sheet name="JBS - eNPS &amp; cNPS Survey (FY 24" sheetId="1" r:id="rId1"/>
  </sheets>
  <calcPr calcId="0"/>
</workbook>
</file>

<file path=xl/calcChain.xml><?xml version="1.0" encoding="utf-8"?>
<calcChain xmlns="http://schemas.openxmlformats.org/spreadsheetml/2006/main">
  <c r="R6"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2" i="1"/>
  <c r="R11"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2" i="1"/>
  <c r="R3" i="1" s="1"/>
  <c r="R5" i="1" l="1"/>
  <c r="R4" i="1"/>
  <c r="R8" i="1" s="1"/>
  <c r="R9" i="1" s="1"/>
  <c r="R13" i="1" s="1"/>
</calcChain>
</file>

<file path=xl/sharedStrings.xml><?xml version="1.0" encoding="utf-8"?>
<sst xmlns="http://schemas.openxmlformats.org/spreadsheetml/2006/main" count="1638" uniqueCount="657">
  <si>
    <t>Id</t>
  </si>
  <si>
    <t>Start time</t>
  </si>
  <si>
    <t>Completion time</t>
  </si>
  <si>
    <t>Email</t>
  </si>
  <si>
    <t>Name</t>
  </si>
  <si>
    <t>Please select your Company/Business Unit.</t>
  </si>
  <si>
    <t>Please select your location</t>
  </si>
  <si>
    <t>Position:</t>
  </si>
  <si>
    <t>Gender:</t>
  </si>
  <si>
    <t>How likely are you to recommend JBS to a friend or colleague?</t>
  </si>
  <si>
    <t>How would you rate the company culture?</t>
  </si>
  <si>
    <t>What is the primary reason behind your score given above? Please provide additional comments or feedback.</t>
  </si>
  <si>
    <t>What could we do to improve your experience?</t>
  </si>
  <si>
    <t>8/15/2025 22:19</t>
  </si>
  <si>
    <t>8/15/2025 22:22</t>
  </si>
  <si>
    <t>anonymous</t>
  </si>
  <si>
    <t>Impare (Private) Limited</t>
  </si>
  <si>
    <t>Karachi</t>
  </si>
  <si>
    <t>Contractual</t>
  </si>
  <si>
    <t>Man</t>
  </si>
  <si>
    <t xml:space="preserve">My teammates are very good and welcoming </t>
  </si>
  <si>
    <t xml:space="preserve">Give support </t>
  </si>
  <si>
    <t>8/15/2025 22:35</t>
  </si>
  <si>
    <t>8/15/2025 22:37</t>
  </si>
  <si>
    <t>Energy &amp; Automation (Private) Limited</t>
  </si>
  <si>
    <t>Islamabad</t>
  </si>
  <si>
    <t>Permanent</t>
  </si>
  <si>
    <t xml:space="preserve">Nepotism 
Merit being compromised </t>
  </si>
  <si>
    <t xml:space="preserve">Merit based culture
Hiring on Merit instead of relationships </t>
  </si>
  <si>
    <t>8/15/2025 23:18</t>
  </si>
  <si>
    <t>8/15/2025 23:25</t>
  </si>
  <si>
    <t>JBS - Jaffer Customer Services</t>
  </si>
  <si>
    <t>JBS is a professional, growth-driven, and supportive workplace with a collaborative and inclusive culture that inspires me to excel every day.</t>
  </si>
  <si>
    <t>More engagement initiatives, stronger cross-team communication, and continued learning opportunities will make JBS an even greater place to work</t>
  </si>
  <si>
    <t>8/15/2025 23:09</t>
  </si>
  <si>
    <t>8/15/2025 23:28</t>
  </si>
  <si>
    <t>JBS Applify</t>
  </si>
  <si>
    <t>I rated my likelihood to recommend JBS as very low because there is a lack of genuine commitment toward employees. Issues such as favoritism, lack of appreciation, absence of recognition for hard work, and minimal employee value are common. Market standards are not followed, and yearly performance reviews feel like a formality without meaningful discussion or development plans. Line managers are often not assigned effectively, leading to biased decisions that can negatively impact careers. Incentives and bonuses are not provided, and there is little to no action taken to address these recurring problems, even after years of the same practices.</t>
  </si>
  <si>
    <t>Ensure fair treatment of all employees by eliminating favoritism and bias, and commit to genuinely valuing contributions. Introduce proper recognition programs, align salaries and benefits with market standards, and make yearly performance reviews meaningful with clear development plans. Assign competent and unbiased line managers, provide incentives and bonuses, and actively work on solutions rather than allowing issues to persist year after year.
Additionally, track weekly performance and increase engagement with teams. Apply constructive micromanagement where needed, and use tools to monitor activities transparently. Avoid relying solely on verbal trust without verification. Set clear KPIs, announce weekly or monthly “Employee of the Month” awards, and follow best market practices for every key factor of employee experience.</t>
  </si>
  <si>
    <t>8/15/2025 23:57</t>
  </si>
  <si>
    <t>N/A</t>
  </si>
  <si>
    <t>8/16/2025 0:06</t>
  </si>
  <si>
    <t>8/16/2025 0:13</t>
  </si>
  <si>
    <t>Corporate Services</t>
  </si>
  <si>
    <t>Woman</t>
  </si>
  <si>
    <t>Everyone is incredibly supportive and genuinely invested in each other's success. It makes a huge difference.</t>
  </si>
  <si>
    <t>Continue fostering the strong company culture we have now, while also actively seeking ways to improve it even further.</t>
  </si>
  <si>
    <t>8/16/2025 0:18</t>
  </si>
  <si>
    <t>8/16/2025 0:20</t>
  </si>
  <si>
    <t>Lahore</t>
  </si>
  <si>
    <t xml:space="preserve">There's no merit in jbs,only pick and choose </t>
  </si>
  <si>
    <t xml:space="preserve">Please adopt merits </t>
  </si>
  <si>
    <t>8/16/2025 0:23</t>
  </si>
  <si>
    <t>8/16/2025 0:32</t>
  </si>
  <si>
    <t>It seems there are no activities or events scheduled for night-shift employees, as everything is organized before 5–6 PM.
Within the night shift, there is a noticeable amount of internal politics. Many individuals do not seem to have genuine intentions toward their colleagues. There’s significant backbiting, and some employees—despite receiving high salaries and grades such as MG4—lack core skills in sales or even basic knowledge about AI.
In certain cases, targets are being achieved by relying on work aligned with someone else’s efforts, with credit being taken unfairly and without acknowledgment of the actual contributor.</t>
  </si>
  <si>
    <t>I believe an anonymous employee survey should be conducted every month. This would allow management to gather honest feedback and identify areas for improvement.
In every playbook review and meeting, each individual should be accountable for their own contributions—not just the performance of their team. They should be asked:
What have you personally achieved in the last year?
What new clients have you brought in apart from existing opportunities?
There should be a designated person responsible for asking these questions regularly.
Additionally, account managers should receive proper training to handle client interactions effectively, including managing difficult conversations and presenting themselves positively to clients.
Every lead should be properly tracked, and clients should receive all necessary details immediately after each meeting. Sending a follow-up email with meeting notes should be the first priority—while the proposal can be sent later, ensuring the client receives clear updates promptly is essential.
Finally, the overall culture should encourage everyone to work towards the collective target of the entire unit, rather than creating unnecessary boundaries around who can pitch or pursue certain opportunities.</t>
  </si>
  <si>
    <t>8/16/2025 0:38</t>
  </si>
  <si>
    <t>8/16/2025 0:40</t>
  </si>
  <si>
    <t>JBS - Jaffer Infrastructure Solutions</t>
  </si>
  <si>
    <t>Due to the culture and work norms</t>
  </si>
  <si>
    <t xml:space="preserve">Make a portal where employee can share their problems or work related issues </t>
  </si>
  <si>
    <t>8/16/2025 5:29</t>
  </si>
  <si>
    <t>8/16/2025 5:36</t>
  </si>
  <si>
    <t xml:space="preserve">low salaries and poor incentive structure is extremely demotivating. </t>
  </si>
  <si>
    <t xml:space="preserve">increase salaries to market competitive and improve incentive structure. Despite the team working in night, HR fails to do justice on performance compensation. </t>
  </si>
  <si>
    <t>8/16/2025 7:59</t>
  </si>
  <si>
    <t>8/16/2025 8:16</t>
  </si>
  <si>
    <t>JBS has demonstrated excellent operational efficiency and responsiveness to market demands. I also appreciate the company’s efforts in adopting sustainable practices and investing in innovation. Continued transparency and proactive communication will help strengthen this positive relationship even further.</t>
  </si>
  <si>
    <t>All managers should support their subordinates and foster a culture of trust. When managers act based on self-interest rather than team success, it can negatively impact employee morale and the overall company reputation. It's important for all leaders to practice transparency, fairness, and collaboration to maintain a healthy and productive work environment.</t>
  </si>
  <si>
    <t>8/16/2025 10:59</t>
  </si>
  <si>
    <t>8/16/2025 11:08</t>
  </si>
  <si>
    <t>However, earlier in our conversation, there was a mention of a score of "16.00" in the context of an "Annual Financial Targets" form on a webpage with a "PEOPLE PULSE" logo. If you're referring to that score, without more context about how the score was calculated or what it represents in terms of performance evaluation, it's difficult to determine the primary reason behind the score.
*Additional Comments or Feedback:*
- The score of 16.00 seems to be part of a performance evaluation or appraisal system.
- The "Annual Financial Targets" form had a weightage of 20%, and the rating selected was "Very Good".
- More information about the organization's evaluation criteria would be needed to provide specific feedback on the score.
If you have any further questions or would like me to help with something else, feel free to ask!</t>
  </si>
  <si>
    <t>I'm designed to learn from interactions and improve based on user needs. To improve my experience and better serve you:
I'm here to be helpful, engaging, and flexible in our interactions. What do you think about our conversation so far? Is there something specific you'd like me to help with or focus on?</t>
  </si>
  <si>
    <t>8/16/2025 11:33</t>
  </si>
  <si>
    <t>8/16/2025 11:40</t>
  </si>
  <si>
    <t>Strengths: Friendly atmosphere, approachable management, and strong teamwork culture.</t>
  </si>
  <si>
    <t>Create more opportunities for career development and skill-building.</t>
  </si>
  <si>
    <t>8/16/2025 14:01</t>
  </si>
  <si>
    <t>8/16/2025 14:03</t>
  </si>
  <si>
    <t>Culture, Reputation, Integrity, Commitment</t>
  </si>
  <si>
    <t>Removal of favoritism, Simplify the processes, Accountability</t>
  </si>
  <si>
    <t>8/16/2025 19:54</t>
  </si>
  <si>
    <t>8/16/2025 20:04</t>
  </si>
  <si>
    <t>I like the comfortable level which is provided her and the empowerment to deliver the task independently.IT truly a learning land while working in JBS.</t>
  </si>
  <si>
    <t>Take hard decision when needed, quickly ..dont delay
LT should connect with employees down the level
Do difficult conversation on employee and LT level when needed.</t>
  </si>
  <si>
    <t>8/17/2025 20:15</t>
  </si>
  <si>
    <t>8/17/2025 20:26</t>
  </si>
  <si>
    <t>I like my company organization</t>
  </si>
  <si>
    <t xml:space="preserve">Step by step guide </t>
  </si>
  <si>
    <t>8/17/2025 23:43</t>
  </si>
  <si>
    <t>8/17/2025 23:45</t>
  </si>
  <si>
    <t xml:space="preserve">Environment </t>
  </si>
  <si>
    <t xml:space="preserve">Improvement salary structure </t>
  </si>
  <si>
    <t>8/18/2025 9:12</t>
  </si>
  <si>
    <t>8/18/2025 9:20</t>
  </si>
  <si>
    <t>The culture is impacted by nepotism, and employees don’t see many genuine opportunities to grow in their careers.</t>
  </si>
  <si>
    <t>Ensure employee compensation reflects their skills, contributions, and market standards.</t>
  </si>
  <si>
    <t>8/18/2025 10:33</t>
  </si>
  <si>
    <t>8/18/2025 10:43</t>
  </si>
  <si>
    <t>JBS - Jaffer Consulting</t>
  </si>
  <si>
    <t>Very good overall culture lead by HR and good systems in place to implement these policies</t>
  </si>
  <si>
    <t>If the survey could be further broken down into individual business departments, like for in JBS it can be Microsoft, SAP, Oracle, etc, then I think better feedback can be gathered.</t>
  </si>
  <si>
    <t>8/18/2025 9:58</t>
  </si>
  <si>
    <t>8/18/2025 11:10</t>
  </si>
  <si>
    <t xml:space="preserve">There is a serious problem with the Leadership team at JBS as they are not motivating their teams enough, leaving quite demotivated teams. Also the culture at JBS lacks discipline and has created a very laid back environment so the teams dont take their jobs seriously. Everyone is driven by incentives which is not good for the culture.  </t>
  </si>
  <si>
    <t xml:space="preserve">You need to have a stronger HR department which lacks the experience, that is taking people to task for non performance. </t>
  </si>
  <si>
    <t>8/18/2025 11:15</t>
  </si>
  <si>
    <t>8/18/2025 11:24</t>
  </si>
  <si>
    <t>Hierarchy Issue the current structure is creating delays in decision-making and impacting smooth progress.
Lack of Technical Resources there is a shortage of technically skilled personnel, which is slowing down the execution of planned activities &amp; understanding of deliverables.</t>
  </si>
  <si>
    <t>Identify skill gaps list exactly which areas need technical depth.
Cross-train existing staff ? quick workshops / shadowing can fill smaller gaps.
Leverage partner/vendor resources ? temporarily onboard consultants for niche tasks.
Plan phased hiring/contracting ? bring in specialists only when critical milestones require them.
Document &amp; automate ? reduce repetitive manual work so fewer technical hands are needed.</t>
  </si>
  <si>
    <t>8/18/2025 12:17</t>
  </si>
  <si>
    <t>8/18/2025 12:18</t>
  </si>
  <si>
    <t>--</t>
  </si>
  <si>
    <t>8/18/2025 14:49</t>
  </si>
  <si>
    <t>8/18/2025 15:03</t>
  </si>
  <si>
    <t xml:space="preserve">I am part of JBS for quite some time hence put these ratings BUT my answers can be biased knowing how eNPS and NPS works. </t>
  </si>
  <si>
    <t>Make gym within the building premises for people who spend more than 8 hours in the vicinity and do not get much time for physical activity on daily basis</t>
  </si>
  <si>
    <t>8/19/2025 11:25</t>
  </si>
  <si>
    <t>8/19/2025 12:34</t>
  </si>
  <si>
    <t>Over the past three years, my interactions with my seniors have always been effortless and free of hesitation, thanks to their friendly approach, which has fostered a comfortable and open work environment.</t>
  </si>
  <si>
    <t>For contractual employees, the company should conduct a one-to-one session before contract renewal. During this meeting, the employee should be provided with constructive feedback, and the terms of the renewed contract, such as salary and benefits, should be discussed. Additionally, the employee’s expectations and suggestions regarding compensation and perks should be actively sought to ensure mutual agreement and satisfaction</t>
  </si>
  <si>
    <t>8/19/2025 12:58</t>
  </si>
  <si>
    <t>8/19/2025 13:03</t>
  </si>
  <si>
    <t>Generally satisfied.</t>
  </si>
  <si>
    <t>Better recognition programs</t>
  </si>
  <si>
    <t>8/20/2025 15:05</t>
  </si>
  <si>
    <t>8/20/2025 18:48</t>
  </si>
  <si>
    <t>The reason behind my score and specifically giving a 4 in referring JBS to a friend, is that while JBS provides good opportunities for learning and growth, with a culture that is very open, friendly, collaborative, and inclusive, and a senior leadership team that is approachable and supportive, there are still areas that need improvement. Work-life balance is not defined at all, as being in one of the main functions of CRS, we are often expected to be available and working all day long. Onsite trainings are limited due to budget constraints, and remuneration remains below market competitive levels, often justified by the business not performing.</t>
  </si>
  <si>
    <t>I would suggest defining clearer work-life balance guidelines, especially for CRS functions where extended availability is often expected. More investment in onsite trainings and structured career development opportunities would also add great value. Additionally, making remuneration more market competitive, rather than tying it strictly to business performance, would help employees feel more recognized and motivated. Alongside this, continuing to strengthen the already open, friendly, and collaborative culture will further enhance the overall employee experience.</t>
  </si>
  <si>
    <t>8/21/2025 0:53</t>
  </si>
  <si>
    <t>8/21/2025 0:56</t>
  </si>
  <si>
    <t>JBS Applify has a very inclusive and open work environment. The team is very dedicated and talented and work great together.</t>
  </si>
  <si>
    <t>Perhaps considering to have more events during Applify's time zone could be a drastic jump in improving experience. It's just sad to see all those events happening, and not being able to attend them as they do not cater to Applify's time zone.</t>
  </si>
  <si>
    <t>8/22/2025 9:44</t>
  </si>
  <si>
    <t>8/22/2025 9:48</t>
  </si>
  <si>
    <t>Authoritarian policies devised by single person without deliberation.</t>
  </si>
  <si>
    <t xml:space="preserve">Make Policies as per Laws and practices followed internationally. </t>
  </si>
  <si>
    <t>8/25/2025 14:01</t>
  </si>
  <si>
    <t>8/25/2025 14:22</t>
  </si>
  <si>
    <t xml:space="preserve">Overall good work environment, work Culture, Owner ship, Management  </t>
  </si>
  <si>
    <t>More policies for employee regarding Financials benefits, Parents healthcare, vending machine facility</t>
  </si>
  <si>
    <t>8/26/2025 12:18</t>
  </si>
  <si>
    <t>8/26/2025 12:20</t>
  </si>
  <si>
    <t>just in 1 month, I found its good.</t>
  </si>
  <si>
    <t>its good.</t>
  </si>
  <si>
    <t>8/26/2025 12:17</t>
  </si>
  <si>
    <t>I believe there is room for improvement, especially in terms of faster response times and clearer updates. With more proactive communication, the overall experience could be significantly better.</t>
  </si>
  <si>
    <t>To improve my experience, timely updates and faster resolution of issues would be very helpful. Clear communication throughout the process would also enhance the overall experience.</t>
  </si>
  <si>
    <t>learning wise not so good</t>
  </si>
  <si>
    <t>social media team, please change your social media team</t>
  </si>
  <si>
    <t>8/26/2025 12:19</t>
  </si>
  <si>
    <t>8/26/2025 12:21</t>
  </si>
  <si>
    <t>I genuinely enjoy coming to my workspace every day, and I believe this alone speaks volumes about my satisfaction and justifies my rating</t>
  </si>
  <si>
    <t xml:space="preserve">more fun activities </t>
  </si>
  <si>
    <t>8/26/2025 12:22</t>
  </si>
  <si>
    <t>I have worked with many companies, but the environment I found at JBS is unbelievable. Here, you get plenty of opportunities to learn, you are given the platform to work, and to bring out your skills. The management here is highly professional and they strongly encourage you to face challenges.</t>
  </si>
  <si>
    <t>retaintion of experience personals</t>
  </si>
  <si>
    <t>8/26/2025 12:28</t>
  </si>
  <si>
    <t>Hysab Kytab (Private) Limited</t>
  </si>
  <si>
    <t xml:space="preserve">All stars across the board for my team at HK. The only reason that's not the case for my overall experience with JBS is very nitpicky- some teams on our floor could be a little gentler with their everyday communication with each other. Sometimes it feels too loud and inappropriate. I would also appreciate JBS' events such as holidays (women's day, independence day) to focus less on reinforcing stereotypes such as feeding into the whole women-love-shopping-and-makeup fiasco. 
</t>
  </si>
  <si>
    <t>I would like JBS to issue official statements and stay in the loop on communications around the criminal cases associated with the brand of the group. I feel a little ashamed sharing that I work with Jaffer Business Systems and am met with questions on my company's ties and stance to the Zahir Jaffer case. I feel like we are not doing enough to establish we do not condone this. 
As a company leading technological innovations in the realm of AI, I see incessant focus on creating better and enriched products but no accountability on how our environmental SDGs help negate the effects caused by unregulated use of AI and heavy data servers reliant on scarce natural resources such as water. These are important factors to be considered when we want to become a pioneer in business practices in the country.</t>
  </si>
  <si>
    <t>8/26/2025 12:33</t>
  </si>
  <si>
    <t>8/26/2025 12:42</t>
  </si>
  <si>
    <t>The primary reason behind my score is that JBS has an excellent company culture, which I rated 10/10. The work environment is supportive, collaborative, and encourages growth, making it a great place to work. I rated 8/10 for recommending others to join JBS because, while the overall experience is very positive, there is always room for further improvement in certain areas.</t>
  </si>
  <si>
    <t>To further improve my experience, JBS could focus on enhancing career growth opportunities through structured training programs, mentorship, and clear progression paths. Additionally, providing more regular feedback sessions and initiatives to support work-life balance would add even greater value to the overall positive culture.</t>
  </si>
  <si>
    <t>8/26/2025 12:48</t>
  </si>
  <si>
    <t xml:space="preserve">At times there are comments or jokes cracked that are completely unprofessional and make you feel uncomfortable and there is lack of clarity when it comes to the appraisal process, promotions, performance-based bonuses etc </t>
  </si>
  <si>
    <t xml:space="preserve">Try incorporating a more respectful and professional environment and provide more transparency about the appraisal process etc and having a more structured system could potentially help </t>
  </si>
  <si>
    <t>8/26/2025 12:51</t>
  </si>
  <si>
    <t>JBS is my first workplace, and I've been here for quite some time now. There are definitely some great things about working here, like you are given real ownership of your work &amp; there is always guidance around with very supportive people around you.</t>
  </si>
  <si>
    <t xml:space="preserve">One area that JBS really needs to improve is employee compensation. People put in long hours &amp; real commitment, but when you return home after a long 10-hour shift &amp; you are not fairly compensated, it takes a toll on you. No one wants to think that their hard work is not translating into financial security. On a bigger level, VI has a great vision for the company, which is futuristic, ambitious &amp; forward-looking, but if you take a step back &amp; look at the broader leadership except him &amp; one other, the leadership feels a bit hollow. There's a gap between vision &amp; execution &amp; that is where the frustration lies. Especially in Corporate Services, the expectations are very high &amp; the higher leadership wants to see results, but the current setup doesn't match the kind of results the leadership wants to see. Without restructuring, fairer compensation &amp; better resources, the department might struggle to give great results. At this moment, the CS department works like bookkeepers instead of being good strategists. We don't talk about strategies &amp; insight,s instead just do what we are asked to do. </t>
  </si>
  <si>
    <t>8/26/2025 12:50</t>
  </si>
  <si>
    <t>8/26/2025 12:54</t>
  </si>
  <si>
    <t>Onboarding experience is very smooth. Offered good market competitive salary along with health insurance.</t>
  </si>
  <si>
    <t>As of Now everything is very good. but still there is always room for improvement.</t>
  </si>
  <si>
    <t>8/26/2025 13:00</t>
  </si>
  <si>
    <t>8/26/2025 13:01</t>
  </si>
  <si>
    <t>nil</t>
  </si>
  <si>
    <t>8/26/2025 12:53</t>
  </si>
  <si>
    <t>8/26/2025 13:03</t>
  </si>
  <si>
    <t>The company promotes open communication, respect, and mutual trust, making it a great place to work</t>
  </si>
  <si>
    <t xml:space="preserve">To make the culture even stronger, we could increase employee engagement through regular feedback sessions, team-building activities, and open forums for sharing ideas. thnx </t>
  </si>
  <si>
    <t>8/26/2025 13:06</t>
  </si>
  <si>
    <t>Because senior as they approve or rejects 
Some time your request they are not reachable or they don't bother to give comments,so that any one can update that thing or point.</t>
  </si>
  <si>
    <t>Must connect that person whom have authority on you, that he rejects or approve.
On the other hand he must share comments.
If he is unreachable he must have 
assistant who do that job.
One more thing If any expenses added by some one else must be checked by the concern person until that should not closed.</t>
  </si>
  <si>
    <t>8/26/2025 13:09</t>
  </si>
  <si>
    <t>“The primary reason for my score is the quality of service and support I have received, which has generally been reliable and professional. I value the technical expertise and responsiveness of the team. Additional improvements in quicker turnaround for issue resolution, more proactive updates, and regular technical training opportunities would further enhance my overall experience.”</t>
  </si>
  <si>
    <t xml:space="preserve">“My overall experience has been good, and I appreciate the support provided. To further improve, I would suggest faster response times on technical queries, more localized training opportunities, and clearer communication on service updates. These enhancements would make the experience smoother and even more valuable.” Now we are selling solution Vertiv UPS so  I need technical certification training. </t>
  </si>
  <si>
    <t>8/26/2025 13:46</t>
  </si>
  <si>
    <t>8/26/2025 13:48</t>
  </si>
  <si>
    <t>Excellent</t>
  </si>
  <si>
    <t>Satisfied</t>
  </si>
  <si>
    <t>8/26/2025 13:49</t>
  </si>
  <si>
    <t>8/26/2025 13:57</t>
  </si>
  <si>
    <t>I gave this score because JBS provides a strong professional environment, opportunities to learn, and supportive leadership. The company has a good market reputation and is focused on delivering quality solutions. There is still room for improvement in streamlining internal processes and enhancing cross-departmental coordination.</t>
  </si>
  <si>
    <t xml:space="preserve">Provide more structured career development opportunities, regular training and certifications, and introduce better recognition and reward programs. Improving internal communication and decision-making speed would also enhance the overall employee experience. Additionally, offering a more market-competitive commission and salary structure for the sales team would greatly boost motivation and retention. </t>
  </si>
  <si>
    <t>8/26/2025 13:58</t>
  </si>
  <si>
    <t>8/26/2025 13:59</t>
  </si>
  <si>
    <t>.</t>
  </si>
  <si>
    <t>8/26/2025 14:05</t>
  </si>
  <si>
    <t>8/26/2025 14:08</t>
  </si>
  <si>
    <t xml:space="preserve">Supportive colleagues, friendly environment  </t>
  </si>
  <si>
    <t xml:space="preserve">More structured processes </t>
  </si>
  <si>
    <t>8/26/2025 14:21</t>
  </si>
  <si>
    <t>JBS, focus on building strong customer relationships while also creating a workplace where employees feel proud, motivated, and confident to recommend it as an employer of choice.</t>
  </si>
  <si>
    <t>Improving response time, simplifying workflows, and ensuring proactive communication would greatly strengthen my experience with JBS.</t>
  </si>
  <si>
    <t>8/26/2025 14:23</t>
  </si>
  <si>
    <t>Score based on my experience</t>
  </si>
  <si>
    <t xml:space="preserve">according to rates please improve the areas </t>
  </si>
  <si>
    <t>8/26/2025 14:40</t>
  </si>
  <si>
    <t>8/26/2025 14:47</t>
  </si>
  <si>
    <t xml:space="preserve">The primary reason behind my score is the overall quality of service and timely support I received. I appreciate the prompt responses and effective resolution of my issue. </t>
  </si>
  <si>
    <t>Overall, my experience has been good. However, providing faster response times, regular status updates, and clearer communication during the process would further enhance the overall experience.</t>
  </si>
  <si>
    <t>8/26/2025 14:51</t>
  </si>
  <si>
    <t>8/26/2025 14:52</t>
  </si>
  <si>
    <t xml:space="preserve">All team and officers support </t>
  </si>
  <si>
    <t>All is done</t>
  </si>
  <si>
    <t>8/26/2025 14:54</t>
  </si>
  <si>
    <t>8/26/2025 14:55</t>
  </si>
  <si>
    <t xml:space="preserve">Openness, Integrity, </t>
  </si>
  <si>
    <t>Avoid favoritism</t>
  </si>
  <si>
    <t>8/26/2025 14:53</t>
  </si>
  <si>
    <t>8/26/2025 15:00</t>
  </si>
  <si>
    <t>The company fosters a supportive and collaborative environment where every one feels valued.</t>
  </si>
  <si>
    <t>A stronger reward program would make employees More valued.</t>
  </si>
  <si>
    <t>8/26/2025 15:09</t>
  </si>
  <si>
    <t xml:space="preserve">The primary reason behind my score is timely support and proper follow-up. Overall service is good, but response time  be improved
</t>
  </si>
  <si>
    <t xml:space="preserve">Good service and timely support.
Everything is fine, keep it up.
</t>
  </si>
  <si>
    <t>I have given the maximum score because of my positive experience working here for the past 13 years. The company has provided me with growth opportunities, a supportive environment, and strong teamwork culture. I truly value the commitment towards employee development and organizational excellence.</t>
  </si>
  <si>
    <t>Overall, my experience has been very positive. To further improve, the company could focus on introducing more training opportunities, advanced tools/technologies, and employee engagement initiatives to enhance skills and teamwork.</t>
  </si>
  <si>
    <t>8/26/2025 14:56</t>
  </si>
  <si>
    <t>8/26/2025 15:15</t>
  </si>
  <si>
    <t>I have been working with Jaffer Company since 2021, and I truly appreciate the company’s outstanding payroll system. Throughout my career here, I have consistently received my salary on time at the end of each month, which I consider a top priority and a highly positive aspect of this organization."</t>
  </si>
  <si>
    <t>I would like to recommend that Jaffer Company initiate technical training sessions and certifications to enhance the knowledge and experience of contractual employees. Additionally, arranging official activities such as picnics, dinners, and similar events for permanent employees, along with considering at least one annual bonus, would be greatly appreciated."</t>
  </si>
  <si>
    <t>8/26/2025 14:59</t>
  </si>
  <si>
    <t>8/26/2025 16:18</t>
  </si>
  <si>
    <t>I rated this way because of the great service quality and timely assistance. I really appreciated the quick responses and how effectively my issue was resolved.</t>
  </si>
  <si>
    <t>Overall, my experience has been positive. That said, faster response times, regular status updates, and clearer communication throughout the process would further improve the experience.</t>
  </si>
  <si>
    <t>8/26/2025 16:20</t>
  </si>
  <si>
    <t>8/26/2025 16:23</t>
  </si>
  <si>
    <t xml:space="preserve">All team members and management are supported and I think that all employees of Jaffer are like a family members and jaffer is family   </t>
  </si>
  <si>
    <t xml:space="preserve">All Done </t>
  </si>
  <si>
    <t>8/26/2025 16:22</t>
  </si>
  <si>
    <t>8/26/2025 16:25</t>
  </si>
  <si>
    <t>The culture is good, but I feel it could be still be better.</t>
  </si>
  <si>
    <t xml:space="preserve">The communical workspaces are not so comfortable, one should have designated desks if they are a permanent employee. Teams need their own space to work well together rather than being unintentionally disturbed by other teams/employees. Also there is alot of emphasis on leveraging AI, but we need to first teach employees to use tools properly like teams and email, many people still are using whatsapp instead of official communication channels. </t>
  </si>
  <si>
    <t>8/26/2025 16:28</t>
  </si>
  <si>
    <t>8/26/2025 16:36</t>
  </si>
  <si>
    <t xml:space="preserve">Friendly work environment and cooperative management.  </t>
  </si>
  <si>
    <t xml:space="preserve">With open communication between management and employ </t>
  </si>
  <si>
    <t>8/26/2025 16:39</t>
  </si>
  <si>
    <t>8/26/2025 16:46</t>
  </si>
  <si>
    <t>The staff at JBS Company is very good; they resolve any issues promptly and on time.</t>
  </si>
  <si>
    <t>I have one request: please provide as much pay as possible and offer bonuses twice a year.</t>
  </si>
  <si>
    <t>8/26/2025 16:50</t>
  </si>
  <si>
    <t>8/26/2025 17:02</t>
  </si>
  <si>
    <t>need more flexible and respond and timely managed.
provide tours nationaly and internationally, Gift etc. with employees &amp; his families. 
Support financially without interest.</t>
  </si>
  <si>
    <t>Get to gather, Trainings, visit to Head office for encourage &amp; motivation.</t>
  </si>
  <si>
    <t>8/26/2025 16:44</t>
  </si>
  <si>
    <t>8/26/2025 17:05</t>
  </si>
  <si>
    <t>JBS have good reputable company for work and future growth.</t>
  </si>
  <si>
    <t>Try to make hassle free environment where queries to reach out with management.</t>
  </si>
  <si>
    <t>8/26/2025 17:09</t>
  </si>
  <si>
    <t>8/26/2025 17:17</t>
  </si>
  <si>
    <t>I always recommend JBS to all my friends because I  am very satisfied. All JBS employees are very supportive and guide us very well.</t>
  </si>
  <si>
    <t>All services are very well, I am very satisfied.</t>
  </si>
  <si>
    <t>8/26/2025 17:30</t>
  </si>
  <si>
    <t>8/26/2025 17:39</t>
  </si>
  <si>
    <t>JBS have a nice company to work, where you can enhance your skills .</t>
  </si>
  <si>
    <t>Try to make extra activites.</t>
  </si>
  <si>
    <t>8/26/2025 17:44</t>
  </si>
  <si>
    <t>8/26/2025 17:47</t>
  </si>
  <si>
    <t>I learned alot here and because of the environment JBS provides the learning scales.</t>
  </si>
  <si>
    <t>Nothing for now.</t>
  </si>
  <si>
    <t>8/26/2025 13:26</t>
  </si>
  <si>
    <t>8/26/2025 18:43</t>
  </si>
  <si>
    <t>no</t>
  </si>
  <si>
    <t>8/26/2025 21:21</t>
  </si>
  <si>
    <t>8/26/2025 21:25</t>
  </si>
  <si>
    <t>Attention to detail and understanding of the subject matter are commendable</t>
  </si>
  <si>
    <t>1 picnic and dinners.</t>
  </si>
  <si>
    <t>8/27/2025 2:43</t>
  </si>
  <si>
    <t>8/27/2025 2:46</t>
  </si>
  <si>
    <t>Open, flexible, accessible environment with focus on productivity and human element.</t>
  </si>
  <si>
    <t>Focus more on productivity and professionalism and not let human emotions gets the better of professionalism. Staying professional all the time, and highly productive.</t>
  </si>
  <si>
    <t>8/27/2025 2:49</t>
  </si>
  <si>
    <t>8/27/2025 2:53</t>
  </si>
  <si>
    <t>I would rate the company culture as 6 out of 10. While the workplace environment is generally positive with supportive colleagues and collaborative efforts, there are certain areas that need attention. Specifically, more transparent communication, consistent recognition of employee contributions, and greater inclusivity in decision-making would help strengthen the culture. Additionally, enhancing career growth opportunities could further elevate the overall experience.</t>
  </si>
  <si>
    <t>To improve my experience, greater transparency in communication, more consistent recognition of contributions, and clearer growth and development opportunities would be very helpful.</t>
  </si>
  <si>
    <t>8/27/2025 8:13</t>
  </si>
  <si>
    <t>8/27/2025 8:22</t>
  </si>
  <si>
    <t>as compare to the other private companies . JBS is a professional and intellectual company in pakistan.</t>
  </si>
  <si>
    <t xml:space="preserve">in future i want to be a part of JBS permanenteo employee.  </t>
  </si>
  <si>
    <t>8/27/2025 8:21</t>
  </si>
  <si>
    <t>8/27/2025 8:28</t>
  </si>
  <si>
    <t>I have my personal experience work in JBS . Jbs is the best privste company in pakistan.</t>
  </si>
  <si>
    <t>I want to continue my job experience  share with. JBS team .</t>
  </si>
  <si>
    <t>8/27/2025 10:44</t>
  </si>
  <si>
    <t>8/27/2025 11:43</t>
  </si>
  <si>
    <t>No micro management is a very good thing for engineers and to other people working here</t>
  </si>
  <si>
    <t xml:space="preserve">Provide us with good working space </t>
  </si>
  <si>
    <t>8/27/2025 11:40</t>
  </si>
  <si>
    <t>8/27/2025 11:44</t>
  </si>
  <si>
    <t>JBS is likely a multinational environment, and chance to grow as much as you go.</t>
  </si>
  <si>
    <t xml:space="preserve">overall is good experience, need to improve some process regarding the supply chain.  </t>
  </si>
  <si>
    <t>8/27/2025 12:10</t>
  </si>
  <si>
    <t>8/27/2025 12:20</t>
  </si>
  <si>
    <t>People are way too good with comfort and ok with mediocracy, they don't challenge much themselves 
Ideally there should be more senior technical resources and technical thought leadership which is currently missing due to which leadership sometimes cant comprehend some stuff easily and is ok with mediocracy 
Like take one example of LinkedIn - the KPI for that was set wrong (vanity metrics) and we were optimizing for numbers rather then what people are learning, it was easily gamified as people can swap multiple browsers to complete the course</t>
  </si>
  <si>
    <t xml:space="preserve">I have stated above, we need to challenge more and bring more competent technical resources to reach the goals the JBS is striving for
</t>
  </si>
  <si>
    <t>8/27/2025 20:18</t>
  </si>
  <si>
    <t xml:space="preserve">It took quite a few months for me to adjust in the company. Everything felt very overwhelming, despite the people were sweet enough, things felt over whelmed. 
Though things got good after 3 months, but the starting period felt quite hard. </t>
  </si>
  <si>
    <t xml:space="preserve">There should be more trainings and engagemenet sessions. All of this should be balanced with the deadlines. Employees should feel lighted enough while working. 
Proper worklife balance should be there, over working, responsing at odd timings should be minimized. 
Realistic KPI should be made when an employee joins whether contractual or parmenant, he/she should know his goals, where will he/she stand after x number of months. 
Salary packages are quite low,this should be worked on. 
Budget restraints should be looked on. 
Another thing, kindly change the food catering, the taste isn't nice, the quantity is questionable. It's better to change the catering. 
</t>
  </si>
  <si>
    <t>8/28/2025 10:34</t>
  </si>
  <si>
    <t>8/28/2025 10:44</t>
  </si>
  <si>
    <t>The primary reason behind my score is that, although the company fosters a positive culture and supportive environment, there is an opportunity to further enhance engagement by recognizing silent contributors who consistently deliver excellent results but may not always receive visibility. Providing acknowledgment and appreciation for their efforts through structured recognition initiatives would help boost morale, strengthen motivation, and promote a more inclusive and collaborative culture.</t>
  </si>
  <si>
    <t>To improve my experience, company could apply sociometric approaches by fostering stronger collaboration, ensuring balanced communication across teams, and recognizing both formal and informal contributors. Regular sociometric feedback—through short surveys or interaction analysis—would help identify bottlenecks, highlight silent contributors, and strengthen team engagement. By creating an open environment where knowledge is shared, workloads are balanced, and employee interactions are valued, you can enhance both productivity and overall workplace satisfaction</t>
  </si>
  <si>
    <t>8/28/2025 11:45</t>
  </si>
  <si>
    <t>8/28/2025 11:56</t>
  </si>
  <si>
    <t>JBS only gives us salary; apart from this, there are no other benefits compared to other vendors</t>
  </si>
  <si>
    <t>To enhance employee satisfaction and motivation, JBS should consider introducing the following initiatives alongside regular salary:
Annual Bonus – Provide performance-based or yearly bonuses to recognize and reward employees’ contributions.
Birthday Recognition – Celebrate employees’ birthdays by offering a cake and greeting card as a token of appreciation.
Marriage Gift – Present a thoughtful gift to employees on their wedding to acknowledge this important milestone.
Childbirth Gift – Offer a small gift to employees upon the birth of their child, showing care for their family’s happiness.
Occasional/Seasonal Gifts – Distribute gifts on special occasions (e.g., Eid, New Year, company anniversaries) to strengthen the bond between the organization and its employees.
Benefits of These Initiatives
Increases employee motivation and loyalty.
Builds a positive company image as an employer who values employees’ personal and professional lives.
Enhances engagement by showing that JBS stands with employees in both joyful and challenging moments.</t>
  </si>
  <si>
    <t>8/28/2025 11:05</t>
  </si>
  <si>
    <t>8/28/2025 13:40</t>
  </si>
  <si>
    <t>I am grateful to be part of a workplace with a friendly and supportive environment, where teamwork and professionalism are truly valued. Salaries are always received on time and all benefits are provided as promised, which reflects the company’s commitment to its employees. It is a well managed and positive place to work, making each day both productive and enjoyable.</t>
  </si>
  <si>
    <t>To enhance my overall experience, it would be beneficial to receive well-defined instructions, consistent and constructive feedback, and clearly articulated objectives or expectations. This would enable me to provide more accurate, relevant, and tailored responses. Furthermore, the ability to access real-time information, where appropriate, and to consider user preferences—when expressly permitted—would significantly improve the quality, efficiency, and personalization of the support I am able to offer.</t>
  </si>
  <si>
    <t>8/28/2025 18:37</t>
  </si>
  <si>
    <t>8/28/2025 18:42</t>
  </si>
  <si>
    <t>it is a good organization that provides strong learning opportunities, exposure to diverse technologies, and a collaborative work environment.                                                                                          Additional comments/feedback:
The company culture is healthy and collaborative, but further initiatives to encourage innovation and employee engagement would make it even stronger.
More focus on career growth paths and structured training programs would help employees enhance their skills and contribute more effectively.
Regular updates and transparency from management regarding organizational goals and progress would further strengthen trust.</t>
  </si>
  <si>
    <t>Providing clearer career growth paths, more structured training and certification opportunities, and faster internal communication would greatly enhance the employee experience. Additionally, recognizing and rewarding contributions more frequently can further motivate employees and strengthen loyalty.</t>
  </si>
  <si>
    <t>8/29/2025 0:53</t>
  </si>
  <si>
    <t>8/29/2025 0:54</t>
  </si>
  <si>
    <t>No</t>
  </si>
  <si>
    <t xml:space="preserve">Communication </t>
  </si>
  <si>
    <t>8/29/2025 4:20</t>
  </si>
  <si>
    <t>8/29/2025 4:26</t>
  </si>
  <si>
    <t>Good service cooperative staff.</t>
  </si>
  <si>
    <t>My experience was good, and I do not feel any improvement is needed at the moment</t>
  </si>
  <si>
    <t>8/29/2025 5:42</t>
  </si>
  <si>
    <t>8/29/2025 5:50</t>
  </si>
  <si>
    <t xml:space="preserve">Company trusted on employees and very important is safety first rules for employees </t>
  </si>
  <si>
    <t xml:space="preserve">All the best </t>
  </si>
  <si>
    <t>8/29/2025 13:35</t>
  </si>
  <si>
    <t>8/29/2025 13:44</t>
  </si>
  <si>
    <t>The company has a great mission in the renewable energy sector and provides a motivating environment to work in. As a Sales Executive, I’ve had the opportunity to work with cutting-edge technologies in solar, UPS, BESS, and IoT, which is both challenging and rewarding. Leadership is supportive, and the team culture promotes learning and collaboration. There’s a strong sense of purpose in contributing to clean energy solutions, which adds to job satisfaction.</t>
  </si>
  <si>
    <t>1) More structured sales training and product-specific workshops would help enhance our effectiveness in the field.
2) A clearer roadmap for career growth within the sales team would be appreciated.
3) Streamlining internal processes (like proposal approvals and logistics coordination) could improve efficiency.
4) It would also be beneficial to invest in digital tools that support sales performance tracking and CRM integration.</t>
  </si>
  <si>
    <t>8/29/2025 15:01</t>
  </si>
  <si>
    <t>8/29/2025 15:08</t>
  </si>
  <si>
    <t>To retain talent and prevent skill inactivity, high-performing contractual employees should be given opportunities on new projects, not just assigned long-term to a single client. This approach rewards performance and promotes continuous skill development.</t>
  </si>
  <si>
    <t>8/29/2025 19:42</t>
  </si>
  <si>
    <t>8/29/2025 19:47</t>
  </si>
  <si>
    <t>Overall good environment.</t>
  </si>
  <si>
    <t>All is going really well in company.</t>
  </si>
  <si>
    <t>I like culture because it reflects the values, traditions, and way of life of people. It gives me a chance to learn new perspectives, explore unique food, art, language, and customs. Experiencing culture makes me feel more connected to people and helps me understand the world better. I would recommend culture to my friend because it broadens the mind, encourages respect for diversity, and makes life more colorful and meaningful. By experiencing culture, my friend can enjoy new experiences, gain knowledge, and develop a deeper appreciation for people and their backgrounds.</t>
  </si>
  <si>
    <t>To improve my experience, you could make the environment more interactive and engaging, give more chances to share ideas, and provide helpful feedback. This would make learning and participation more enjoyable.</t>
  </si>
  <si>
    <t xml:space="preserve">my answer is about jbs not my department.. overall jbs culture is very sick. bosses enjoys while junior employees are overworked, flexible policies are made but not much encouraged. overall pay scale is very low as compared to other companies. unnecessary events with big budgets are arranged on the name of employee wellbeing and employee engagement but they are only intended for pictures only not for employees to enjoy. upper management enjoys while employees are underpaid and not much appreciated. </t>
  </si>
  <si>
    <t>revise the salary structure, plan the events with sole aim to engage employees, do something for their well being not for listing everything on paper</t>
  </si>
  <si>
    <t>Micromanagement, lack of accountability, lack of motivation and leadership problems</t>
  </si>
  <si>
    <t>Start paying employees propoerly so that they have the motivation to work.</t>
  </si>
  <si>
    <t>Company culture is overall very nice.
Recommending JBS over other reputable tech companies would be not very much recommending due to international and national market share.</t>
  </si>
  <si>
    <t>By strengthening our international market share.</t>
  </si>
  <si>
    <t>The culture of the company is good and comfortable for employees.</t>
  </si>
  <si>
    <t>One way to further enhance my positive experience is through performance-based promotions and appointments.</t>
  </si>
  <si>
    <t>Open to work culture and respect for everyone either junior to office boy</t>
  </si>
  <si>
    <t>Need more transparancncy</t>
  </si>
  <si>
    <t xml:space="preserve">Culture is very good but the salary packages aren't. </t>
  </si>
  <si>
    <t>Increase the salaries.</t>
  </si>
  <si>
    <t>The current company culture lacks professionalism and requires a comprehensive redesign to create an environment where high-performing individuals can truly thrive.</t>
  </si>
  <si>
    <t>Implement consistent productivity monitoring and ensure that established processes are executed effectively.</t>
  </si>
  <si>
    <t>There is flexible work hours.</t>
  </si>
  <si>
    <t xml:space="preserve">There is not good salary package that has to
Be improved </t>
  </si>
  <si>
    <t xml:space="preserve">Because everyone is good </t>
  </si>
  <si>
    <t xml:space="preserve">No need of any improvement </t>
  </si>
  <si>
    <t>JBS provide salary to employees On Time.</t>
  </si>
  <si>
    <t>need improve management and employee relationship</t>
  </si>
  <si>
    <t>A place to extend wings as much as you can.</t>
  </si>
  <si>
    <t>Ownership resolution.
Process not in place.
Salary structure not as per market.
No eligibility criteria to retain old and new inductions for salary packages.</t>
  </si>
  <si>
    <t>I rated JBS with high scores because it's a best company that demonstrates excellence in multiple aspects. The company maintains a strong and positive work culture, provides growth opportunities, and fosters a supportive environment for its employees. The company's commitment to quality and innovation makes it a highly recommendable workplace for friends and colleague</t>
  </si>
  <si>
    <t>1 - Career Development:
- Implement clear career progression paths
- Provide more training and skill development programs
- Offer mentorship opportunities
- Create individual development plans
2 -Employment Security:
- Convert performing temporary employees to permanent positions
- Establish transparent criteria for permanent role conversion
- Provide better job security measures
- Compensation and Benefits:
- Regular salary reviews aligned with market standards
- Enhanced benefits package
- Performance-based incentives
- Better health insurance coverage
3- Work Environment:
- Improve work-life balance
- Flexible working hours where possible
- Better facilities and infrastructure
- Enhanced safety measures
4- Communication:
- Regular feedback sessions
- Open door policy with management
- Clear communication about company policies and changes
- Regular team meetings and updates
5- Recognition:
- Employee recognition programs
- Rewards for outstanding performance
- Appreciation for long-term service
- Innovation and improvement suggestions
6- Professional Growth:
- Cross-functional training opportunities
- Leadership development programs
- Industry certifications support
- Educational assistance programs</t>
  </si>
  <si>
    <t>Good</t>
  </si>
  <si>
    <t>So supportive that's why I like JBS managements</t>
  </si>
  <si>
    <t xml:space="preserve">They are Already perfect </t>
  </si>
  <si>
    <t>The reason behind of the given rating by me it's to every colleague has an easy access to reach their manager and HOD as well because of that reason the culture of the company is extremely great.</t>
  </si>
  <si>
    <t xml:space="preserve">at least two dinner in an year given by the company </t>
  </si>
  <si>
    <t xml:space="preserve">is it a performance review, a survey response, a product/service rating, or something else?
</t>
  </si>
  <si>
    <t xml:space="preserve">“To improve my experience, it would help if communication was more clear and timely, with updates provided at each stage. Additionally, simplifying </t>
  </si>
  <si>
    <t>The management doesnt seem like they have a on2 goal. We get changes in direction every often</t>
  </si>
  <si>
    <t>Maybe define a clear set of goals and the path to those goals. also since the path can change overtime its understandable that the direction changes but from focusing from 1 goal to another while diminishing the other is not a very encouraging way to reach atleast 1 goal quota.</t>
  </si>
  <si>
    <t>Team is very cooperative.</t>
  </si>
  <si>
    <t xml:space="preserve">To support employee well-being and encourage team bonding, I suggest we consider dedicating space for recreational activities like a fitness corner (an indoor gym) or a ping-pong table. </t>
  </si>
  <si>
    <t xml:space="preserve">Salary is on time, but there is gap between us and our JBS management. 
</t>
  </si>
  <si>
    <t xml:space="preserve">Listen our complains and resolve them on priority and there should be more get together rather than only one.
Attendance system is not professional for contractual staff.
Also pay allowances on time.
</t>
  </si>
  <si>
    <t>It is a good thing that there is no rigid protocol culture, and seniors respect juniors.</t>
  </si>
  <si>
    <t>Please continue improving user-friendliness and efficiency.</t>
  </si>
  <si>
    <t>This company is so good. I know because I am already working with JBS since two years and I found that they are very professional and very corporative with there staff.</t>
  </si>
  <si>
    <t xml:space="preserve">Yes </t>
  </si>
  <si>
    <t xml:space="preserve">No more additional comments </t>
  </si>
  <si>
    <t>For helping and compensate our company workers ...</t>
  </si>
  <si>
    <t>There response are good and they listen there employees and try to resolve the issues.</t>
  </si>
  <si>
    <t>They need to permenant there employees after several years of contractual employment</t>
  </si>
  <si>
    <t xml:space="preserve">Because they are very professional and comparative with there employees. I am working with JBS since two years </t>
  </si>
  <si>
    <t xml:space="preserve">Arrange meeting everyone month with your team </t>
  </si>
  <si>
    <t xml:space="preserve"> The staff was supportive, the process was smooth, and I felt my concerns were handled professionally.”
“The primary reason is the consistent quality and reliability. I always feel confident using your services.”</t>
  </si>
  <si>
    <t xml:space="preserve">Providing quicker response times and more personalized support would greatly improve my experience.”
“Clearer communication and regular updates on progress would enhance my satisfaction.”
</t>
  </si>
  <si>
    <t>Its been more then 10 years with jbs .i am enjoying working with jbs</t>
  </si>
  <si>
    <t xml:space="preserve">I am on learning mode every time i would like that jbs provide me chances on other project as well to improve passionately </t>
  </si>
  <si>
    <t xml:space="preserve">Flexibility </t>
  </si>
  <si>
    <t>Incentives</t>
  </si>
  <si>
    <t>Well so far as I am newly appointed employee JBS policies regarding contractual staff are appreciable particularly female staff have some good benefits.</t>
  </si>
  <si>
    <t>Good pay scale and benefits can mark the difference and make loyalty aspect stronger.</t>
  </si>
  <si>
    <t>Cooperative staff</t>
  </si>
  <si>
    <t xml:space="preserve">Motivation </t>
  </si>
  <si>
    <t xml:space="preserve">This company provides a professional and friendly work environment. I have learned and grown a lot while working here. The management is supportive and encourages employees to do their best. Teamwork and collaboration make this company a great place to work. The company values hard work and rewards employees fairly. I feel proud to be a part of this organization.
</t>
  </si>
  <si>
    <t>Nothing</t>
  </si>
  <si>
    <t>I gave this score because the company culture is positive, supportive, and focused on teamwork and growth. Leadership values our opinions and encourages professional development.</t>
  </si>
  <si>
    <t>My experience is already great, but adding more training opportunities and team-building activities could make it even better.</t>
  </si>
  <si>
    <t xml:space="preserve">suggest Teamwork </t>
  </si>
  <si>
    <t>New updated softwares installation and new updated updated systems</t>
  </si>
  <si>
    <t xml:space="preserve">Good </t>
  </si>
  <si>
    <t xml:space="preserve">Better now </t>
  </si>
  <si>
    <t>Environment is good and supportive... More can be done since i believe that JBS is confined to their floor only. They have no any kind of relation building and symmetry with other relevant companies of the group.</t>
  </si>
  <si>
    <t>this is not a overnight change to be expected and many efforts are rendered to get the score lifted. Keep up the same pace and momentum.</t>
  </si>
  <si>
    <t>Nice and cooperative environment supportive head always listen and share advices for the team to grow</t>
  </si>
  <si>
    <t>Required IT training session for future upcomes  share new thoughts of mind which IT industry is working on it and more.</t>
  </si>
  <si>
    <t>strong leadership, innovative solutions, collaborative teams, a supportive culture, commitment to employee growth</t>
  </si>
  <si>
    <t>Consider offering permanent employment to boost job security and motivate employees. Motivating employees can lead to increased productivity and job satisfaction.</t>
  </si>
  <si>
    <t>Yes</t>
  </si>
  <si>
    <t>Well reuputed company</t>
  </si>
  <si>
    <t>Facilitates the employees</t>
  </si>
  <si>
    <t>The score reflects my overall satisfaction with the JBS.</t>
  </si>
  <si>
    <t>Everything went well.</t>
  </si>
  <si>
    <t>No career growth</t>
  </si>
  <si>
    <t xml:space="preserve">Give competitive salary As per experience and tenure with the company </t>
  </si>
  <si>
    <t>Freedom of work</t>
  </si>
  <si>
    <t>Give more value to employees who are on client sites</t>
  </si>
  <si>
    <t>providing us a great apportunity</t>
  </si>
  <si>
    <t>to create more apportunities and provide free courses</t>
  </si>
  <si>
    <t>I express my views on the reality-based approach of JBS, as the organization continues its journey of success in both local and international markets. We believe in more than just business growth; we are deeply committed to employee development through professional training and grooming.</t>
  </si>
  <si>
    <t>I would appreciate your guidance on and access to administrative and professional training programs that align with my current JD to support my career progression.</t>
  </si>
  <si>
    <t xml:space="preserve">As per company culture plz provide medical opd is nessacry </t>
  </si>
  <si>
    <t>Please provide a courses 
Cloude base 
Erp
Apex</t>
  </si>
  <si>
    <t>Our colleague are like family or friendly with everyone that's a good thing and no any miss behaviour with us that's why I rate 9 and second company culture is nice but we are not in a company but when any query with related officers that's providing professional answers that's why I rate 7</t>
  </si>
  <si>
    <t xml:space="preserve">Give us yearly bonus
Parents medical
New courses related our skills or designations 
Yearly picnic </t>
  </si>
  <si>
    <t>9/16/2025 15:36</t>
  </si>
  <si>
    <t>9/16/2025 15:42</t>
  </si>
  <si>
    <t xml:space="preserve">90% are friendly </t>
  </si>
  <si>
    <t>Meet face to face with each person at least in HO, will get the gaps.</t>
  </si>
  <si>
    <t>9/16/2025 15:55</t>
  </si>
  <si>
    <t>9/16/2025 15:57</t>
  </si>
  <si>
    <t xml:space="preserve">Just for my experience </t>
  </si>
  <si>
    <t xml:space="preserve">No comments </t>
  </si>
  <si>
    <t>9/18/2025 10:37</t>
  </si>
  <si>
    <t>9/18/2025 10:39</t>
  </si>
  <si>
    <t>I like the envoirmenet here. How the company as a whole is focused on growth and learning</t>
  </si>
  <si>
    <t>Better seating. Maybe cubicles for a more private and secluded space to build better focus</t>
  </si>
  <si>
    <t>9/18/2025 10:38</t>
  </si>
  <si>
    <t>9/18/2025 10:40</t>
  </si>
  <si>
    <t xml:space="preserve">As per environment and culture observed </t>
  </si>
  <si>
    <t>9/18/2025 10:43</t>
  </si>
  <si>
    <t>The score primarily reflects performance in relation to the defined goals, expectations, and evaluation criteria.</t>
  </si>
  <si>
    <t>Ensure access to the right tools and offer regular recognition of achievements and opportunities for professional development. 
Create more opportunities for open feedback, collaboration, and idea-sharing to strengthen teamwork.</t>
  </si>
  <si>
    <t>9/18/2025 10:41</t>
  </si>
  <si>
    <t xml:space="preserve">Poor management </t>
  </si>
  <si>
    <t>Address core issues and motivate employee to adopt rather than manager showing frustration. This can never lead to progress and good environment.</t>
  </si>
  <si>
    <t>9/18/2025 10:44</t>
  </si>
  <si>
    <t>Impare has no toxic culture which is good for mental health</t>
  </si>
  <si>
    <t>There should be more team building activities</t>
  </si>
  <si>
    <t>9/18/2025 10:46</t>
  </si>
  <si>
    <t>9/18/2025 11:00</t>
  </si>
  <si>
    <t>The workplace embraces inclusivity, promoting continuous growth and empowerment.</t>
  </si>
  <si>
    <t>More regular communication on organization goals, strategy, and how each team contributes would make the experience more engaging and motivating.</t>
  </si>
  <si>
    <t>9/18/2025 11:05</t>
  </si>
  <si>
    <t>9/18/2025 11:06</t>
  </si>
  <si>
    <t>freedom to work</t>
  </si>
  <si>
    <t xml:space="preserve">I just request to take care those staff who are placed on client site. </t>
  </si>
  <si>
    <t>9/18/2025 11:09</t>
  </si>
  <si>
    <t>I like the culture of JBS thats why i rejoined it after a short career break. Few areas need improvement like the consultants who are on client site didn't get much recognition compared to those who are in Head Office. We did not get the time to visit Head Office without any specific reason.</t>
  </si>
  <si>
    <t>There must be events, seminars and interactive session for the consultants as well so that we feel inclusive.</t>
  </si>
  <si>
    <t>9/18/2025 11:08</t>
  </si>
  <si>
    <t>9/18/2025 11:10</t>
  </si>
  <si>
    <t>The company is really good with the people but the place is small and chaotic at times. The young lot is very limited.</t>
  </si>
  <si>
    <t>Empower more young people and get a bigger space</t>
  </si>
  <si>
    <t>9/18/2025 11:30</t>
  </si>
  <si>
    <t>9/18/2025 11:35</t>
  </si>
  <si>
    <t>All colleagues are cooperative and understandable and help each others</t>
  </si>
  <si>
    <t>Overall, I’m satisfied. Adding more self-service options/resources would improve convenience</t>
  </si>
  <si>
    <t>9/18/2025 11:48</t>
  </si>
  <si>
    <t>9/18/2025 11:51</t>
  </si>
  <si>
    <t>I am enjoying my work here the best organization I ever work with</t>
  </si>
  <si>
    <t xml:space="preserve">Training sessions must be conducted </t>
  </si>
  <si>
    <t>9/18/2025 13:02</t>
  </si>
  <si>
    <t>9/18/2025 13:07</t>
  </si>
  <si>
    <t>The primary reason behind my score is that things can change direction without clear communication, clarification</t>
  </si>
  <si>
    <t>Improve communication and ensure that any changes are properly clarified and planned in advance. This will help avoid confusion and make it easier to stay aligned with the overall direction</t>
  </si>
  <si>
    <t>9/18/2025 13:08</t>
  </si>
  <si>
    <t>9/18/2025 13:12</t>
  </si>
  <si>
    <t>Overall experience was good and met expectations.</t>
  </si>
  <si>
    <t>Everything was good overall, but quicker response times and more personalized support would make the experience even better.</t>
  </si>
  <si>
    <t>9/18/2025 13:14</t>
  </si>
  <si>
    <t xml:space="preserve">Due to favoritism - everyone is equal - no one is superior. </t>
  </si>
  <si>
    <t xml:space="preserve">Treat everyone equally </t>
  </si>
  <si>
    <t xml:space="preserve">Growing onwards and upwards </t>
  </si>
  <si>
    <t xml:space="preserve">build sense of ownership in each employee </t>
  </si>
  <si>
    <t>9/18/2025 13:15</t>
  </si>
  <si>
    <t>9/18/2025 13:17</t>
  </si>
  <si>
    <t>Because everything is well structured and organized in company.</t>
  </si>
  <si>
    <t>Nothing all is well in company.</t>
  </si>
  <si>
    <t>9/18/2025 13:16</t>
  </si>
  <si>
    <t>9/18/2025 13:19</t>
  </si>
  <si>
    <t>Ownership is missing at levels to proceed further</t>
  </si>
  <si>
    <t>Ownership should beaccountable</t>
  </si>
  <si>
    <t>9/18/2025 13:20</t>
  </si>
  <si>
    <t>The proposed rate bracket is based on market analysis and informal benchmarking through professional contacts in other organizations.</t>
  </si>
  <si>
    <t>Thank you for asking. Overall, my experience positive, but I believe a few improvements could enhance it further. 
1.Continuously gathering market intelligence and updating benchmarks in line with industry standards would help motivate employees and support retention. 
2.Expanding opportunities for professional development across all regions—not just at the head office. Ensure all voices are heard and promote a more inclusive work culture.</t>
  </si>
  <si>
    <t>9/18/2025 13:34</t>
  </si>
  <si>
    <t>9/18/2025 13:52</t>
  </si>
  <si>
    <t>Consultants placed at customer side are not much involved in activities happening at JBS office. So, most of them are not aware of the company culture and activities at JBS office. There are employees who only visit H.O or meet H.R at their onboarding &amp; exit only.</t>
  </si>
  <si>
    <t>People who are placed on projects are unable to relate to activities &amp; values at H.O.
Try to find ways to bring consultants which are placed client side to events and engagements happening at H.O. 
HR to be more aware of their employees who are not at H.O. Understand what their challenges and issues are so that they don't feel left out. Once they start feeling that their company cares about them, they can connect with the culture &amp; values.</t>
  </si>
  <si>
    <t>9/18/2025 13:59</t>
  </si>
  <si>
    <t>9/18/2025 14:03</t>
  </si>
  <si>
    <t>I appreciate the professionalism of the team.</t>
  </si>
  <si>
    <t>Very satisfied with the company so no improvement required</t>
  </si>
  <si>
    <t>9/18/2025 14:04</t>
  </si>
  <si>
    <t>9/18/2025 14:06</t>
  </si>
  <si>
    <t>Overall performance and Culture of the Company is very Good.</t>
  </si>
  <si>
    <t>Regular Surveys like this.</t>
  </si>
  <si>
    <t>9/18/2025 14:02</t>
  </si>
  <si>
    <t>Lack of ownership. new Freshers and old ones as well</t>
  </si>
  <si>
    <t xml:space="preserve">Discipline to come early.
Etiquettes to speak with Juniors or Seniors
Discipline to take ownership.
 Free speak culture.
salary adjustments, as per market inflations.
</t>
  </si>
  <si>
    <t>9/18/2025 13:21</t>
  </si>
  <si>
    <t>9/18/2025 14:13</t>
  </si>
  <si>
    <t>I gave a score of 8 because JBS provides a supportive environment with good opportunities to learn and grow. The company culture is generally positive, collaborative, and encourages teamwork. However, there is still room for improvement in terms of communication and streamlining processes to make work more efficient. With some enhancements in these areas, the overall experience can become even stronger.</t>
  </si>
  <si>
    <t>Improve Internal Communication: Clearer and more timely communication across teams will help reduce confusion and delays.
Work–Life Balance: Permanent and contractual staff should be allowed to leave on time if they arrive on time, without unnecessary restrictions from line managers, provided organizational working hours are being followed.
Equal Recognition &amp; Engagement: Contractual staff should also be included in giveaways and employee engagement activities (e.g., calendars, diaries, T-shirts), especially for warehouse teams who often miss out on such initiatives.
Support for Processes &amp; Directions: All staff should consistently support and follow proper directions when requests or instructions are shared, to ensure smooth workflow and mutual respect.</t>
  </si>
  <si>
    <t>9/18/2025 14:17</t>
  </si>
  <si>
    <t>Improve Internal Communication: Clearer and more timely communication across teams will help reduce confusion and delays.
Work–Life Balance: Permanent and contractual staff should be allowed to leave on time if they arrive on time, without unnecessary restrictions from line managers, provided organizational working hours are being followed.
Equal Recognition &amp; Engagement: Contractual staff should also be included in giveaways and employee engagement activities (e.g., calendars, diaries, T-shirts), especially for warehouse teams who often miss out on such initiatives.
Support for Processes &amp; Directions: All staff should consistently support and follow proper directions when requests or instructions are shared, to ensure smooth workflow and mutual respect</t>
  </si>
  <si>
    <t>9/18/2025 14:15</t>
  </si>
  <si>
    <t>9/18/2025 14:21</t>
  </si>
  <si>
    <t xml:space="preserve">Professional Team – The staff’s behaviour is professional and helpful.
</t>
  </si>
  <si>
    <t>Overall, my experience is very good, but quicker response times would make it even better.</t>
  </si>
  <si>
    <t>9/18/2025 14:40</t>
  </si>
  <si>
    <t>9/18/2025 14:41</t>
  </si>
  <si>
    <t>Great People to work with. Very professional</t>
  </si>
  <si>
    <t>We can have more flexible working hours.</t>
  </si>
  <si>
    <t>9/18/2025 14:42</t>
  </si>
  <si>
    <t>friendly environment</t>
  </si>
  <si>
    <t>Speed up the admin related tasks</t>
  </si>
  <si>
    <t>9/18/2025 14:25</t>
  </si>
  <si>
    <t>9/18/2025 15:00</t>
  </si>
  <si>
    <t>Its a good workplace</t>
  </si>
  <si>
    <t xml:space="preserve">Better chairs - we have to sit all day and faulty chairs are causing too much  issues with prolonged sitting hours </t>
  </si>
  <si>
    <t>9/18/2025 15:02</t>
  </si>
  <si>
    <t>9/18/2025 15:03</t>
  </si>
  <si>
    <t>9/18/2025 15:05</t>
  </si>
  <si>
    <t>9/18/2025 15:09</t>
  </si>
  <si>
    <t>While the company culture is commendable, recommending JBS to colleagues or friends may not be advisable due to the absence of a defined career pathway and a structured growth framework.</t>
  </si>
  <si>
    <t xml:space="preserve">Numerous areas require improvement, and we can enhance the creation of pathways for individuals by establishing a clear structure that is fair and transparent. </t>
  </si>
  <si>
    <t>9/18/2025 13:03</t>
  </si>
  <si>
    <t>9/18/2025 15:10</t>
  </si>
  <si>
    <t>It is way better than many other organization, never felt strange working in JBS</t>
  </si>
  <si>
    <t>Already improving everything</t>
  </si>
  <si>
    <t>9/18/2025 15:52</t>
  </si>
  <si>
    <t>9/18/2025 15:55</t>
  </si>
  <si>
    <t>Myself</t>
  </si>
  <si>
    <t>By giving equal rights irrespective of gender , race or specially Grade</t>
  </si>
  <si>
    <t>9/18/2025 16:08</t>
  </si>
  <si>
    <t>9/18/2025 16:27</t>
  </si>
  <si>
    <t xml:space="preserve">I would like to recommend to a friend or family for many reasons but some of the most notable reasons are they are valuing the employees by giving extra benefits and bonuses to specified employees and to those who are sincere and focused on working more than finding reasons for delaying work and let the user suffer which is not good for organization.
</t>
  </si>
  <si>
    <t xml:space="preserve">I'm a Resident Engineer.But my main concern is if I am following the dress code then all the other employees should also follow it.
It's not like I'm following it, it's in the SOP and everyone should abide all the SOPS.
Engineers and employees ignore defined SOPs without hesitancy.
Although I'm very disciplined but count of leaves only limited to 12 and after that deduction from salary starts.
We are already on very limited salary and if any emergency occurs then what?
Company give some of the engineers so much relaxation and they turn to rigid in discipline eventually.
It should be 
Either disciplined though
</t>
  </si>
  <si>
    <t>9/18/2025 16:22</t>
  </si>
  <si>
    <t>9/18/2025 16:33</t>
  </si>
  <si>
    <t>where i work the company is very friendly but apart from that the salary matters and also the main issue is marking attendance on three different platforms feels hectic and the salary deduction on two lates isn't justified and as of an I.T graduate the salary must be increased the package isn't enough for a family person.</t>
  </si>
  <si>
    <t>1) The salary package you're offering should be increased.
2) Salary deduction on two lates have to stop.
3) The annual leaves should be increased as other companies.</t>
  </si>
  <si>
    <t>9/18/2025 16:38</t>
  </si>
  <si>
    <t xml:space="preserve">I think work culture is good in terms of flexibility as well as employees being happy with their jobs and feeling positive in office. </t>
  </si>
  <si>
    <t>Personally, better alignment from JBS and BU management. Employees must follow JBS policies and guidelines however at times BU heads do not take these things seriously and it puts employees in doubt over their efforts. E.g. AWOs, LinkedIn learning hours. 
It is ideal if BU management &amp; JBS can agree on policies before implementing them and having employees work accordingly.</t>
  </si>
  <si>
    <t>9/18/2025 16:52</t>
  </si>
  <si>
    <t>9/18/2025 16:58</t>
  </si>
  <si>
    <t>Professional enviroment would definitely recemond all friends to join if there is any vacancy.</t>
  </si>
  <si>
    <t>There should be transport facility for employees.</t>
  </si>
  <si>
    <t>9/18/2025 17:33</t>
  </si>
  <si>
    <t>9/18/2025 17:36</t>
  </si>
  <si>
    <t>There is too much noise in the organization. We take on too many tasks and are not able to fulfill any. We should take one 1 or 2 projects and then execute them</t>
  </si>
  <si>
    <t xml:space="preserve">A more steady governance model in regards to implementation of technology. More documentation, a clear strategy and roadmap. </t>
  </si>
  <si>
    <t>9/18/2025 19:24</t>
  </si>
  <si>
    <t>9/18/2025 19:28</t>
  </si>
  <si>
    <t>JBS Technode</t>
  </si>
  <si>
    <t>please replace Wajid Ali Khan with a younger talent who has good business knowledge. Unfortunately, Wajid does not seem to be adding much value, and it’s unclear why the company keeps assigning him different roles</t>
  </si>
  <si>
    <t>please remove Wajid Ali Khan and bring in some young talent who has knowledge of business</t>
  </si>
  <si>
    <t>9/18/2025 19:31</t>
  </si>
  <si>
    <t>There seems to be a lot of favoritism, and skills are not being valued. Employees are being hired based on references rather than merit, which should not be the culture. Hiring should be merit-based.</t>
  </si>
  <si>
    <t>Nothing else — this should simply come to an end. Everything should be merit-based, and performance should be evaluated on merit</t>
  </si>
  <si>
    <t>9/18/2025 21:10</t>
  </si>
  <si>
    <t>9/18/2025 21:13</t>
  </si>
  <si>
    <t>Unrealistic timelines combined with limited staffing often prevent us from delivering on schedule, which risks damaging our reputation with clients.</t>
  </si>
  <si>
    <t xml:space="preserve">Transparency in terms of communications, tasks delivery etc with the supervisors and managers as well as clients is extremely important. </t>
  </si>
  <si>
    <t>9/18/2025 22:46</t>
  </si>
  <si>
    <t>9/18/2025 22:48</t>
  </si>
  <si>
    <t>It's a good company. Learning opportunities are sufficient for any individual to grow in their career</t>
  </si>
  <si>
    <t xml:space="preserve">Pay Structure </t>
  </si>
  <si>
    <t>9/19/2025 0:44</t>
  </si>
  <si>
    <t>9/19/2025 0:45</t>
  </si>
  <si>
    <t>Well, Certain factors are there but to sum up, I am kind of satisfied with the culture.</t>
  </si>
  <si>
    <t>If incentives form a major portion of the payroll, then proper policies and informative sessions should be conducted to keep the team motivated. After spending significant time and effort to deliver projects with the expectation of receiving incentives, being told later that one is not eligible feels unfair and demotivating.
There should be proper measures in place to evaluate employee performance in order to ensure equality among all resources, not just sales teams. Salespeople focus on their commissions, but the work of other employees is equally important in achieving organizational success. JBS’s values can only be truly fulfilled when there is equal contribution and recognition from both the company and its employees.
Better Food Quality and Work Environment
Steps should be taken to improve food quality and overall workplace standards. Additionally, it would be highly beneficial to introduce a standard one day WFH (work from home) policy for Applify employees to support flexibility, work-life balance, and overall productivity.</t>
  </si>
  <si>
    <t>9/19/2025 10:44</t>
  </si>
  <si>
    <t>9/19/2025 10:45</t>
  </si>
  <si>
    <t>9/19/2025 13:04</t>
  </si>
  <si>
    <t>9/19/2025 13:22</t>
  </si>
  <si>
    <t>Process-level changes are necessary. While there are a few strong resources, many of our functional and technical team members would benefit from communication and interpersonal skills training, which is currently a significant gap, especially given their client-facing roles. Additionally, there is a lack of strong collaboration among team members from different departments. Outside of the implementation and SLA teams, there is also a gap in high-level product knowledge, which leads to differences in understanding.</t>
  </si>
  <si>
    <t>While the LinkedIn Learning initiative is a commendable offering by the company, the nature of our industry demands comprehensive product knowledge. Therefore, it is essential to schedule product-level training for functional and technical team members in their respective domains, including SAP, Oracle, and Microsoft. Additionally, focusing on team development and establishing a backup strategy will provide long-term benefits to the organization.
Furthermore, when defining project timelines, it is advisable that selected team members, nominated by their department heads, participate in discovery calls. This approach ensures that the project scope is clearly defined at the outset, preventing scope changes later which can adversely affect project timelines and result in revenue loss.</t>
  </si>
  <si>
    <t>9/20/2025 0:47</t>
  </si>
  <si>
    <t>9/20/2025 0:51</t>
  </si>
  <si>
    <t xml:space="preserve">I gave this score because I’ve had a really good experience so far. The service has been reliable, the support team is responsive, and everything feels user-friendly. I appreciate the consistency and would encourage you to keep up the great work.
</t>
  </si>
  <si>
    <t xml:space="preserve">Honestly, my experience has been great so far. The only thing I’d suggest is continuing the same level of support and maybe adding even more of the helpful resources and updates that make things easier for users.
</t>
  </si>
  <si>
    <t>9/20/2025 11:52</t>
  </si>
  <si>
    <t>9/20/2025 11:54</t>
  </si>
  <si>
    <t xml:space="preserve">Good environment and cool hierarchy </t>
  </si>
  <si>
    <t>Better communication with employee. Regular event/party. Etc</t>
  </si>
  <si>
    <t>9/20/2025 18:13</t>
  </si>
  <si>
    <t>9/20/2025 18:19</t>
  </si>
  <si>
    <t>Cuz of contractual agreement so it's very difficult for everyone to secure the job. Also the leaves is limited only 12 leaves on year overall no casual no medical leaves and when your 12 leaves finish salary cutt off.</t>
  </si>
  <si>
    <t>For improvement of experience kindly extend the leaves on annual and causal individually also the stuff of jbs in any division is the backbone of the company so make sure that every person must be on permanent basis not contractual so the risk and worries of the job is out of the mind on this current situation of the country which is basically very difficult to survive on nowadays.</t>
  </si>
  <si>
    <t>9/22/2025 19:31</t>
  </si>
  <si>
    <t>9/22/2025 19:33</t>
  </si>
  <si>
    <t>Everything handle professionally, promptly.</t>
  </si>
  <si>
    <t>9/25/2025 12:15</t>
  </si>
  <si>
    <t>9/25/2025 12:21</t>
  </si>
  <si>
    <t>I like my management</t>
  </si>
  <si>
    <t>Better Reasoning and Planning</t>
  </si>
  <si>
    <t>NPS</t>
  </si>
  <si>
    <t>cNPS</t>
  </si>
  <si>
    <t>JBS WHOLE</t>
  </si>
  <si>
    <t>Promoters</t>
  </si>
  <si>
    <t>Passive</t>
  </si>
  <si>
    <t>Total employees filled:</t>
  </si>
  <si>
    <t>Detractors</t>
  </si>
  <si>
    <t>IMPARE</t>
  </si>
  <si>
    <t>ENA</t>
  </si>
  <si>
    <t>CRS</t>
  </si>
  <si>
    <t>HYSAB KYTAB</t>
  </si>
  <si>
    <t>JAFFER CONSULTING</t>
  </si>
  <si>
    <t>JCS KARACHI</t>
  </si>
  <si>
    <t>JCS</t>
  </si>
  <si>
    <t>JCS Islamabad</t>
  </si>
  <si>
    <t>JIS</t>
  </si>
  <si>
    <t>JBS APPLIFY</t>
  </si>
  <si>
    <t>JCS Lahore</t>
  </si>
  <si>
    <t>Total whole:</t>
  </si>
  <si>
    <t>JIS KARACHI</t>
  </si>
  <si>
    <t>JIS Islamabad</t>
  </si>
  <si>
    <t>JIS Lahore</t>
  </si>
  <si>
    <t>Value</t>
  </si>
  <si>
    <t>Promoter</t>
  </si>
  <si>
    <t>Detractor</t>
  </si>
  <si>
    <t>Total</t>
  </si>
  <si>
    <t>Enps</t>
  </si>
  <si>
    <t>Enps %</t>
  </si>
  <si>
    <t>Culture Mean</t>
  </si>
  <si>
    <t>Culture %</t>
  </si>
  <si>
    <t>Engagement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</si>
</sst>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wrapText="1"/>
    </xf>
    <xf numFmtId="22" fontId="0" fillId="0" borderId="0" xfId="0" applyNumberFormat="1"/>
    <xf numFmtId="0" fontId="0" fillId="0" borderId="0" xfId="0" applyAlignment="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8"/>
  <sheetViews>
    <sheetView tabSelected="1" topLeftCell="B1" workbookViewId="0">
      <selection activeCell="R3" sqref="R3"/>
    </sheetView>
  </sheetViews>
  <sheetFormatPr defaultRowHeight="15" x14ac:dyDescent="0.25"/>
  <cols>
    <col min="13" max="13" width="14.85546875" customWidth="1"/>
    <col min="17" max="17" width="17.42578125" customWidth="1"/>
  </cols>
  <sheetData>
    <row r="1" spans="1:19" x14ac:dyDescent="0.25">
      <c r="A1" t="s">
        <v>0</v>
      </c>
      <c r="B1" t="s">
        <v>1</v>
      </c>
      <c r="C1" t="s">
        <v>2</v>
      </c>
      <c r="D1" t="s">
        <v>3</v>
      </c>
      <c r="E1" t="s">
        <v>4</v>
      </c>
      <c r="F1" t="s">
        <v>5</v>
      </c>
      <c r="G1" t="s">
        <v>6</v>
      </c>
      <c r="H1" t="s">
        <v>7</v>
      </c>
      <c r="I1" t="s">
        <v>8</v>
      </c>
      <c r="J1" t="s">
        <v>9</v>
      </c>
      <c r="K1" t="s">
        <v>10</v>
      </c>
      <c r="L1" t="s">
        <v>11</v>
      </c>
      <c r="M1" t="s">
        <v>12</v>
      </c>
      <c r="N1" t="s">
        <v>648</v>
      </c>
      <c r="O1" t="s">
        <v>655</v>
      </c>
    </row>
    <row r="2" spans="1:19" x14ac:dyDescent="0.25">
      <c r="A2">
        <v>1</v>
      </c>
      <c r="B2" t="s">
        <v>13</v>
      </c>
      <c r="C2" t="s">
        <v>14</v>
      </c>
      <c r="D2" t="s">
        <v>15</v>
      </c>
      <c r="F2" t="s">
        <v>16</v>
      </c>
      <c r="G2" t="s">
        <v>17</v>
      </c>
      <c r="H2" t="s">
        <v>18</v>
      </c>
      <c r="I2" t="s">
        <v>19</v>
      </c>
      <c r="J2">
        <v>9</v>
      </c>
      <c r="K2">
        <v>8</v>
      </c>
      <c r="L2" t="s">
        <v>20</v>
      </c>
      <c r="M2" t="s">
        <v>21</v>
      </c>
      <c r="N2" t="str">
        <f>IF(J2&gt;=9,"Promoter",IF(J2&gt;=7,"Passive","Detractor"))</f>
        <v>Promoter</v>
      </c>
      <c r="O2">
        <f>K2/10*100</f>
        <v>80</v>
      </c>
      <c r="Q2" s="4"/>
      <c r="R2" s="4"/>
      <c r="S2" s="4"/>
    </row>
    <row r="3" spans="1:19" ht="90" x14ac:dyDescent="0.25">
      <c r="A3">
        <v>2</v>
      </c>
      <c r="B3" t="s">
        <v>22</v>
      </c>
      <c r="C3" t="s">
        <v>23</v>
      </c>
      <c r="D3" t="s">
        <v>15</v>
      </c>
      <c r="F3" t="s">
        <v>24</v>
      </c>
      <c r="G3" t="s">
        <v>25</v>
      </c>
      <c r="H3" t="s">
        <v>26</v>
      </c>
      <c r="I3" t="s">
        <v>19</v>
      </c>
      <c r="J3">
        <v>7</v>
      </c>
      <c r="K3">
        <v>4</v>
      </c>
      <c r="L3" s="1" t="s">
        <v>27</v>
      </c>
      <c r="M3" s="1" t="s">
        <v>28</v>
      </c>
      <c r="N3" t="str">
        <f t="shared" ref="N3:N66" si="0">IF(J3&gt;=9,"Promoter",IF(J3&gt;=7,"Passive","Detractor"))</f>
        <v>Passive</v>
      </c>
      <c r="O3">
        <f t="shared" ref="O3:O66" si="1">K3/10*100</f>
        <v>40</v>
      </c>
      <c r="Q3" s="4" t="s">
        <v>649</v>
      </c>
      <c r="R3" s="4">
        <f>COUNTIF(N:N,"Promoter")</f>
        <v>79</v>
      </c>
      <c r="S3" s="4"/>
    </row>
    <row r="4" spans="1:19" x14ac:dyDescent="0.25">
      <c r="A4">
        <v>3</v>
      </c>
      <c r="B4" t="s">
        <v>29</v>
      </c>
      <c r="C4" t="s">
        <v>30</v>
      </c>
      <c r="D4" t="s">
        <v>15</v>
      </c>
      <c r="F4" t="s">
        <v>31</v>
      </c>
      <c r="G4" t="s">
        <v>17</v>
      </c>
      <c r="H4" t="s">
        <v>18</v>
      </c>
      <c r="I4" t="s">
        <v>19</v>
      </c>
      <c r="J4">
        <v>10</v>
      </c>
      <c r="K4">
        <v>9</v>
      </c>
      <c r="L4" t="s">
        <v>32</v>
      </c>
      <c r="M4" t="s">
        <v>33</v>
      </c>
      <c r="N4" t="str">
        <f t="shared" si="0"/>
        <v>Promoter</v>
      </c>
      <c r="O4">
        <f t="shared" si="1"/>
        <v>90</v>
      </c>
      <c r="Q4" s="4" t="s">
        <v>650</v>
      </c>
      <c r="R4" s="4">
        <f>COUNTIF(N:N,"Detractor")</f>
        <v>37</v>
      </c>
      <c r="S4" s="4"/>
    </row>
    <row r="5" spans="1:19" ht="15" customHeight="1" x14ac:dyDescent="0.25">
      <c r="A5">
        <v>4</v>
      </c>
      <c r="B5" t="s">
        <v>34</v>
      </c>
      <c r="C5" t="s">
        <v>35</v>
      </c>
      <c r="D5" t="s">
        <v>15</v>
      </c>
      <c r="F5" t="s">
        <v>36</v>
      </c>
      <c r="G5" t="s">
        <v>17</v>
      </c>
      <c r="H5" t="s">
        <v>26</v>
      </c>
      <c r="I5" t="s">
        <v>19</v>
      </c>
      <c r="J5">
        <v>0</v>
      </c>
      <c r="K5">
        <v>5</v>
      </c>
      <c r="L5" t="s">
        <v>37</v>
      </c>
      <c r="M5" s="1" t="s">
        <v>38</v>
      </c>
      <c r="N5" t="str">
        <f t="shared" si="0"/>
        <v>Detractor</v>
      </c>
      <c r="O5">
        <f t="shared" si="1"/>
        <v>50</v>
      </c>
      <c r="Q5" s="4" t="s">
        <v>630</v>
      </c>
      <c r="R5" s="4">
        <f>COUNTIF(N:N,"Passive")</f>
        <v>68</v>
      </c>
      <c r="S5" s="4"/>
    </row>
    <row r="6" spans="1:19" x14ac:dyDescent="0.25">
      <c r="A6">
        <v>5</v>
      </c>
      <c r="B6" t="s">
        <v>30</v>
      </c>
      <c r="C6" t="s">
        <v>39</v>
      </c>
      <c r="D6" t="s">
        <v>15</v>
      </c>
      <c r="F6" t="s">
        <v>16</v>
      </c>
      <c r="G6" t="s">
        <v>17</v>
      </c>
      <c r="H6" t="s">
        <v>26</v>
      </c>
      <c r="I6" t="s">
        <v>19</v>
      </c>
      <c r="J6">
        <v>7</v>
      </c>
      <c r="K6">
        <v>8</v>
      </c>
      <c r="L6" t="s">
        <v>40</v>
      </c>
      <c r="M6" t="s">
        <v>40</v>
      </c>
      <c r="N6" t="str">
        <f t="shared" si="0"/>
        <v>Passive</v>
      </c>
      <c r="O6">
        <f t="shared" si="1"/>
        <v>80</v>
      </c>
      <c r="Q6" s="4" t="s">
        <v>651</v>
      </c>
      <c r="R6" s="4">
        <f>COUNTA(J:J)</f>
        <v>185</v>
      </c>
      <c r="S6" s="4"/>
    </row>
    <row r="7" spans="1:19" x14ac:dyDescent="0.25">
      <c r="A7">
        <v>6</v>
      </c>
      <c r="B7" t="s">
        <v>41</v>
      </c>
      <c r="C7" t="s">
        <v>42</v>
      </c>
      <c r="D7" t="s">
        <v>15</v>
      </c>
      <c r="F7" t="s">
        <v>43</v>
      </c>
      <c r="G7" t="s">
        <v>17</v>
      </c>
      <c r="H7" t="s">
        <v>26</v>
      </c>
      <c r="I7" t="s">
        <v>44</v>
      </c>
      <c r="J7">
        <v>9</v>
      </c>
      <c r="K7">
        <v>10</v>
      </c>
      <c r="L7" t="s">
        <v>45</v>
      </c>
      <c r="M7" t="s">
        <v>46</v>
      </c>
      <c r="N7" t="str">
        <f t="shared" si="0"/>
        <v>Promoter</v>
      </c>
      <c r="O7">
        <f t="shared" si="1"/>
        <v>100</v>
      </c>
      <c r="Q7" s="4"/>
      <c r="R7" s="4"/>
      <c r="S7" s="4"/>
    </row>
    <row r="8" spans="1:19" x14ac:dyDescent="0.25">
      <c r="A8">
        <v>7</v>
      </c>
      <c r="B8" t="s">
        <v>47</v>
      </c>
      <c r="C8" t="s">
        <v>48</v>
      </c>
      <c r="D8" t="s">
        <v>15</v>
      </c>
      <c r="F8" t="s">
        <v>31</v>
      </c>
      <c r="G8" t="s">
        <v>49</v>
      </c>
      <c r="H8" t="s">
        <v>26</v>
      </c>
      <c r="I8" t="s">
        <v>19</v>
      </c>
      <c r="J8">
        <v>4</v>
      </c>
      <c r="K8">
        <v>5</v>
      </c>
      <c r="L8" t="s">
        <v>50</v>
      </c>
      <c r="M8" t="s">
        <v>51</v>
      </c>
      <c r="N8" t="str">
        <f t="shared" si="0"/>
        <v>Detractor</v>
      </c>
      <c r="O8">
        <f t="shared" si="1"/>
        <v>50</v>
      </c>
      <c r="Q8" s="4" t="s">
        <v>652</v>
      </c>
      <c r="R8" s="4">
        <f>(R3/R6-R4/R6)*100</f>
        <v>22.702702702702705</v>
      </c>
      <c r="S8" s="4"/>
    </row>
    <row r="9" spans="1:19" s="3" customFormat="1" x14ac:dyDescent="0.25">
      <c r="A9" s="3">
        <v>8</v>
      </c>
      <c r="B9" s="3" t="s">
        <v>52</v>
      </c>
      <c r="C9" s="3" t="s">
        <v>53</v>
      </c>
      <c r="D9" s="3" t="s">
        <v>15</v>
      </c>
      <c r="F9" s="3" t="s">
        <v>36</v>
      </c>
      <c r="G9" s="3" t="s">
        <v>17</v>
      </c>
      <c r="H9" s="3" t="s">
        <v>26</v>
      </c>
      <c r="I9" s="3" t="s">
        <v>44</v>
      </c>
      <c r="J9" s="3">
        <v>8</v>
      </c>
      <c r="K9" s="3">
        <v>3</v>
      </c>
      <c r="L9" s="3" t="s">
        <v>54</v>
      </c>
      <c r="M9" s="3" t="s">
        <v>55</v>
      </c>
      <c r="N9" s="3" t="str">
        <f t="shared" si="0"/>
        <v>Passive</v>
      </c>
      <c r="O9" s="3">
        <f t="shared" si="1"/>
        <v>30</v>
      </c>
      <c r="Q9" s="4" t="s">
        <v>653</v>
      </c>
      <c r="R9" s="4">
        <f>(R8+100)/2</f>
        <v>61.351351351351354</v>
      </c>
      <c r="S9" s="4"/>
    </row>
    <row r="10" spans="1:19" x14ac:dyDescent="0.25">
      <c r="A10">
        <v>9</v>
      </c>
      <c r="B10" t="s">
        <v>56</v>
      </c>
      <c r="C10" t="s">
        <v>57</v>
      </c>
      <c r="D10" t="s">
        <v>15</v>
      </c>
      <c r="F10" t="s">
        <v>58</v>
      </c>
      <c r="G10" t="s">
        <v>17</v>
      </c>
      <c r="H10" t="s">
        <v>26</v>
      </c>
      <c r="I10" t="s">
        <v>19</v>
      </c>
      <c r="J10">
        <v>8</v>
      </c>
      <c r="K10">
        <v>8</v>
      </c>
      <c r="L10" t="s">
        <v>59</v>
      </c>
      <c r="M10" t="s">
        <v>60</v>
      </c>
      <c r="N10" t="str">
        <f t="shared" si="0"/>
        <v>Passive</v>
      </c>
      <c r="O10">
        <f t="shared" si="1"/>
        <v>80</v>
      </c>
      <c r="Q10" s="4"/>
      <c r="R10" s="4"/>
      <c r="S10" s="4"/>
    </row>
    <row r="11" spans="1:19" x14ac:dyDescent="0.25">
      <c r="A11">
        <v>10</v>
      </c>
      <c r="B11" t="s">
        <v>61</v>
      </c>
      <c r="C11" t="s">
        <v>62</v>
      </c>
      <c r="D11" t="s">
        <v>15</v>
      </c>
      <c r="F11" t="s">
        <v>36</v>
      </c>
      <c r="G11" t="s">
        <v>17</v>
      </c>
      <c r="H11" t="s">
        <v>26</v>
      </c>
      <c r="I11" t="s">
        <v>19</v>
      </c>
      <c r="J11">
        <v>5</v>
      </c>
      <c r="K11">
        <v>8</v>
      </c>
      <c r="L11" t="s">
        <v>63</v>
      </c>
      <c r="M11" t="s">
        <v>64</v>
      </c>
      <c r="N11" t="str">
        <f t="shared" si="0"/>
        <v>Detractor</v>
      </c>
      <c r="O11">
        <f t="shared" si="1"/>
        <v>80</v>
      </c>
      <c r="Q11" s="4" t="s">
        <v>654</v>
      </c>
      <c r="R11" s="4">
        <f>AVERAGE(O:O)</f>
        <v>78.641304347826093</v>
      </c>
      <c r="S11" s="4"/>
    </row>
    <row r="12" spans="1:19" x14ac:dyDescent="0.25">
      <c r="A12">
        <v>11</v>
      </c>
      <c r="B12" t="s">
        <v>65</v>
      </c>
      <c r="C12" t="s">
        <v>66</v>
      </c>
      <c r="D12" t="s">
        <v>15</v>
      </c>
      <c r="F12" t="s">
        <v>31</v>
      </c>
      <c r="G12" t="s">
        <v>49</v>
      </c>
      <c r="H12" t="s">
        <v>26</v>
      </c>
      <c r="I12" t="s">
        <v>19</v>
      </c>
      <c r="J12">
        <v>10</v>
      </c>
      <c r="K12">
        <v>10</v>
      </c>
      <c r="L12" t="s">
        <v>67</v>
      </c>
      <c r="M12" t="s">
        <v>68</v>
      </c>
      <c r="N12" t="str">
        <f t="shared" si="0"/>
        <v>Promoter</v>
      </c>
      <c r="O12">
        <f t="shared" si="1"/>
        <v>100</v>
      </c>
      <c r="Q12" s="4"/>
      <c r="R12" s="4"/>
      <c r="S12" s="4"/>
    </row>
    <row r="13" spans="1:19" ht="15" customHeight="1" x14ac:dyDescent="0.25">
      <c r="A13">
        <v>12</v>
      </c>
      <c r="B13" t="s">
        <v>69</v>
      </c>
      <c r="C13" t="s">
        <v>70</v>
      </c>
      <c r="D13" t="s">
        <v>15</v>
      </c>
      <c r="F13" t="s">
        <v>43</v>
      </c>
      <c r="G13" t="s">
        <v>17</v>
      </c>
      <c r="H13" t="s">
        <v>26</v>
      </c>
      <c r="I13" t="s">
        <v>19</v>
      </c>
      <c r="J13">
        <v>7</v>
      </c>
      <c r="K13">
        <v>5</v>
      </c>
      <c r="L13" s="1" t="s">
        <v>71</v>
      </c>
      <c r="M13" s="1" t="s">
        <v>72</v>
      </c>
      <c r="N13" t="str">
        <f t="shared" si="0"/>
        <v>Passive</v>
      </c>
      <c r="O13">
        <f t="shared" si="1"/>
        <v>50</v>
      </c>
      <c r="Q13" s="4" t="s">
        <v>656</v>
      </c>
      <c r="R13" s="4">
        <f>(R9*0.5) +(R11*0.5)</f>
        <v>69.996327849588724</v>
      </c>
      <c r="S13" s="4"/>
    </row>
    <row r="14" spans="1:19" x14ac:dyDescent="0.25">
      <c r="A14">
        <v>13</v>
      </c>
      <c r="B14" t="s">
        <v>73</v>
      </c>
      <c r="C14" t="s">
        <v>74</v>
      </c>
      <c r="D14" t="s">
        <v>15</v>
      </c>
      <c r="F14" t="s">
        <v>31</v>
      </c>
      <c r="G14" t="s">
        <v>25</v>
      </c>
      <c r="H14" t="s">
        <v>26</v>
      </c>
      <c r="I14" t="s">
        <v>19</v>
      </c>
      <c r="J14">
        <v>8</v>
      </c>
      <c r="K14">
        <v>9</v>
      </c>
      <c r="L14" t="s">
        <v>75</v>
      </c>
      <c r="M14" t="s">
        <v>76</v>
      </c>
      <c r="N14" t="str">
        <f t="shared" si="0"/>
        <v>Passive</v>
      </c>
      <c r="O14">
        <f t="shared" si="1"/>
        <v>90</v>
      </c>
    </row>
    <row r="15" spans="1:19" x14ac:dyDescent="0.25">
      <c r="A15">
        <v>14</v>
      </c>
      <c r="B15" t="s">
        <v>77</v>
      </c>
      <c r="C15" t="s">
        <v>78</v>
      </c>
      <c r="D15" t="s">
        <v>15</v>
      </c>
      <c r="F15" t="s">
        <v>58</v>
      </c>
      <c r="G15" t="s">
        <v>49</v>
      </c>
      <c r="H15" t="s">
        <v>26</v>
      </c>
      <c r="I15" t="s">
        <v>19</v>
      </c>
      <c r="J15">
        <v>8</v>
      </c>
      <c r="K15">
        <v>7</v>
      </c>
      <c r="L15" t="s">
        <v>79</v>
      </c>
      <c r="M15" t="s">
        <v>80</v>
      </c>
      <c r="N15" t="str">
        <f t="shared" si="0"/>
        <v>Passive</v>
      </c>
      <c r="O15">
        <f t="shared" si="1"/>
        <v>70</v>
      </c>
    </row>
    <row r="16" spans="1:19" x14ac:dyDescent="0.25">
      <c r="A16">
        <v>15</v>
      </c>
      <c r="B16" t="s">
        <v>81</v>
      </c>
      <c r="C16" t="s">
        <v>82</v>
      </c>
      <c r="D16" t="s">
        <v>15</v>
      </c>
      <c r="F16" t="s">
        <v>43</v>
      </c>
      <c r="G16" t="s">
        <v>17</v>
      </c>
      <c r="H16" t="s">
        <v>26</v>
      </c>
      <c r="I16" t="s">
        <v>44</v>
      </c>
      <c r="J16">
        <v>8</v>
      </c>
      <c r="K16">
        <v>7</v>
      </c>
      <c r="L16" t="s">
        <v>83</v>
      </c>
      <c r="M16" s="1" t="s">
        <v>84</v>
      </c>
      <c r="N16" t="str">
        <f t="shared" si="0"/>
        <v>Passive</v>
      </c>
      <c r="O16">
        <f t="shared" si="1"/>
        <v>70</v>
      </c>
    </row>
    <row r="17" spans="1:15" x14ac:dyDescent="0.25">
      <c r="A17">
        <v>16</v>
      </c>
      <c r="B17" t="s">
        <v>85</v>
      </c>
      <c r="C17" t="s">
        <v>86</v>
      </c>
      <c r="D17" t="s">
        <v>15</v>
      </c>
      <c r="F17" t="s">
        <v>24</v>
      </c>
      <c r="G17" t="s">
        <v>17</v>
      </c>
      <c r="H17" t="s">
        <v>26</v>
      </c>
      <c r="I17" t="s">
        <v>19</v>
      </c>
      <c r="J17">
        <v>10</v>
      </c>
      <c r="K17">
        <v>10</v>
      </c>
      <c r="L17" t="s">
        <v>87</v>
      </c>
      <c r="M17" t="s">
        <v>88</v>
      </c>
      <c r="N17" t="str">
        <f t="shared" si="0"/>
        <v>Promoter</v>
      </c>
      <c r="O17">
        <f t="shared" si="1"/>
        <v>100</v>
      </c>
    </row>
    <row r="18" spans="1:15" x14ac:dyDescent="0.25">
      <c r="A18">
        <v>17</v>
      </c>
      <c r="B18" t="s">
        <v>89</v>
      </c>
      <c r="C18" t="s">
        <v>90</v>
      </c>
      <c r="D18" t="s">
        <v>15</v>
      </c>
      <c r="F18" t="s">
        <v>31</v>
      </c>
      <c r="G18" t="s">
        <v>17</v>
      </c>
      <c r="H18" t="s">
        <v>26</v>
      </c>
      <c r="I18" t="s">
        <v>19</v>
      </c>
      <c r="J18">
        <v>10</v>
      </c>
      <c r="K18">
        <v>8</v>
      </c>
      <c r="L18" t="s">
        <v>91</v>
      </c>
      <c r="M18" t="s">
        <v>92</v>
      </c>
      <c r="N18" t="str">
        <f t="shared" si="0"/>
        <v>Promoter</v>
      </c>
      <c r="O18">
        <f t="shared" si="1"/>
        <v>80</v>
      </c>
    </row>
    <row r="19" spans="1:15" x14ac:dyDescent="0.25">
      <c r="A19">
        <v>18</v>
      </c>
      <c r="B19" t="s">
        <v>93</v>
      </c>
      <c r="C19" t="s">
        <v>94</v>
      </c>
      <c r="D19" t="s">
        <v>15</v>
      </c>
      <c r="F19" t="s">
        <v>43</v>
      </c>
      <c r="G19" t="s">
        <v>17</v>
      </c>
      <c r="H19" t="s">
        <v>26</v>
      </c>
      <c r="I19" t="s">
        <v>44</v>
      </c>
      <c r="J19">
        <v>2</v>
      </c>
      <c r="K19">
        <v>4</v>
      </c>
      <c r="L19" t="s">
        <v>95</v>
      </c>
      <c r="M19" t="s">
        <v>96</v>
      </c>
      <c r="N19" t="str">
        <f t="shared" si="0"/>
        <v>Detractor</v>
      </c>
      <c r="O19">
        <f t="shared" si="1"/>
        <v>40</v>
      </c>
    </row>
    <row r="20" spans="1:15" x14ac:dyDescent="0.25">
      <c r="A20">
        <v>19</v>
      </c>
      <c r="B20" t="s">
        <v>97</v>
      </c>
      <c r="C20" t="s">
        <v>98</v>
      </c>
      <c r="D20" t="s">
        <v>15</v>
      </c>
      <c r="F20" t="s">
        <v>99</v>
      </c>
      <c r="G20" t="s">
        <v>17</v>
      </c>
      <c r="H20" t="s">
        <v>18</v>
      </c>
      <c r="I20" t="s">
        <v>19</v>
      </c>
      <c r="J20">
        <v>9</v>
      </c>
      <c r="K20">
        <v>9</v>
      </c>
      <c r="L20" t="s">
        <v>100</v>
      </c>
      <c r="M20" t="s">
        <v>101</v>
      </c>
      <c r="N20" t="str">
        <f t="shared" si="0"/>
        <v>Promoter</v>
      </c>
      <c r="O20">
        <f t="shared" si="1"/>
        <v>90</v>
      </c>
    </row>
    <row r="21" spans="1:15" x14ac:dyDescent="0.25">
      <c r="A21">
        <v>20</v>
      </c>
      <c r="B21" t="s">
        <v>102</v>
      </c>
      <c r="C21" t="s">
        <v>103</v>
      </c>
      <c r="D21" t="s">
        <v>15</v>
      </c>
      <c r="F21" t="s">
        <v>43</v>
      </c>
      <c r="G21" t="s">
        <v>17</v>
      </c>
      <c r="H21" t="s">
        <v>18</v>
      </c>
      <c r="I21" t="s">
        <v>44</v>
      </c>
      <c r="J21">
        <v>7</v>
      </c>
      <c r="K21">
        <v>4</v>
      </c>
      <c r="L21" t="s">
        <v>104</v>
      </c>
      <c r="M21" t="s">
        <v>105</v>
      </c>
      <c r="N21" t="str">
        <f t="shared" si="0"/>
        <v>Passive</v>
      </c>
      <c r="O21">
        <f t="shared" si="1"/>
        <v>40</v>
      </c>
    </row>
    <row r="22" spans="1:15" x14ac:dyDescent="0.25">
      <c r="A22">
        <v>21</v>
      </c>
      <c r="B22" t="s">
        <v>106</v>
      </c>
      <c r="C22" t="s">
        <v>107</v>
      </c>
      <c r="D22" t="s">
        <v>15</v>
      </c>
      <c r="F22" t="s">
        <v>99</v>
      </c>
      <c r="G22" t="s">
        <v>17</v>
      </c>
      <c r="H22" t="s">
        <v>18</v>
      </c>
      <c r="I22" t="s">
        <v>19</v>
      </c>
      <c r="J22">
        <v>3</v>
      </c>
      <c r="K22">
        <v>1</v>
      </c>
      <c r="L22" s="1" t="s">
        <v>108</v>
      </c>
      <c r="M22" s="1" t="s">
        <v>109</v>
      </c>
      <c r="N22" t="str">
        <f t="shared" si="0"/>
        <v>Detractor</v>
      </c>
      <c r="O22">
        <f t="shared" si="1"/>
        <v>10</v>
      </c>
    </row>
    <row r="23" spans="1:15" x14ac:dyDescent="0.25">
      <c r="A23">
        <v>22</v>
      </c>
      <c r="B23" t="s">
        <v>110</v>
      </c>
      <c r="C23" t="s">
        <v>111</v>
      </c>
      <c r="D23" t="s">
        <v>15</v>
      </c>
      <c r="F23" t="s">
        <v>99</v>
      </c>
      <c r="G23" t="s">
        <v>17</v>
      </c>
      <c r="H23" t="s">
        <v>18</v>
      </c>
      <c r="I23" t="s">
        <v>19</v>
      </c>
      <c r="J23">
        <v>10</v>
      </c>
      <c r="K23">
        <v>10</v>
      </c>
      <c r="L23" t="s">
        <v>112</v>
      </c>
      <c r="M23" t="s">
        <v>112</v>
      </c>
      <c r="N23" t="str">
        <f t="shared" si="0"/>
        <v>Promoter</v>
      </c>
      <c r="O23">
        <f t="shared" si="1"/>
        <v>100</v>
      </c>
    </row>
    <row r="24" spans="1:15" x14ac:dyDescent="0.25">
      <c r="A24">
        <v>23</v>
      </c>
      <c r="B24" t="s">
        <v>113</v>
      </c>
      <c r="C24" t="s">
        <v>114</v>
      </c>
      <c r="D24" t="s">
        <v>15</v>
      </c>
      <c r="F24" t="s">
        <v>58</v>
      </c>
      <c r="G24" t="s">
        <v>17</v>
      </c>
      <c r="H24" t="s">
        <v>26</v>
      </c>
      <c r="I24" t="s">
        <v>19</v>
      </c>
      <c r="J24">
        <v>9</v>
      </c>
      <c r="K24">
        <v>9</v>
      </c>
      <c r="L24" t="s">
        <v>115</v>
      </c>
      <c r="M24" t="s">
        <v>116</v>
      </c>
      <c r="N24" t="str">
        <f t="shared" si="0"/>
        <v>Promoter</v>
      </c>
      <c r="O24">
        <f t="shared" si="1"/>
        <v>90</v>
      </c>
    </row>
    <row r="25" spans="1:15" x14ac:dyDescent="0.25">
      <c r="A25">
        <v>24</v>
      </c>
      <c r="B25" t="s">
        <v>117</v>
      </c>
      <c r="C25" t="s">
        <v>118</v>
      </c>
      <c r="D25" t="s">
        <v>15</v>
      </c>
      <c r="F25" t="s">
        <v>99</v>
      </c>
      <c r="G25" t="s">
        <v>25</v>
      </c>
      <c r="H25" t="s">
        <v>18</v>
      </c>
      <c r="I25" t="s">
        <v>19</v>
      </c>
      <c r="J25">
        <v>9</v>
      </c>
      <c r="K25">
        <v>10</v>
      </c>
      <c r="L25" t="s">
        <v>119</v>
      </c>
      <c r="M25" t="s">
        <v>120</v>
      </c>
      <c r="N25" t="str">
        <f t="shared" si="0"/>
        <v>Promoter</v>
      </c>
      <c r="O25">
        <f t="shared" si="1"/>
        <v>100</v>
      </c>
    </row>
    <row r="26" spans="1:15" x14ac:dyDescent="0.25">
      <c r="A26">
        <v>25</v>
      </c>
      <c r="B26" t="s">
        <v>121</v>
      </c>
      <c r="C26" t="s">
        <v>122</v>
      </c>
      <c r="D26" t="s">
        <v>15</v>
      </c>
      <c r="F26" t="s">
        <v>31</v>
      </c>
      <c r="G26" t="s">
        <v>17</v>
      </c>
      <c r="H26" t="s">
        <v>26</v>
      </c>
      <c r="I26" t="s">
        <v>19</v>
      </c>
      <c r="J26">
        <v>8</v>
      </c>
      <c r="K26">
        <v>8</v>
      </c>
      <c r="L26" t="s">
        <v>123</v>
      </c>
      <c r="M26" t="s">
        <v>124</v>
      </c>
      <c r="N26" t="str">
        <f t="shared" si="0"/>
        <v>Passive</v>
      </c>
      <c r="O26">
        <f t="shared" si="1"/>
        <v>80</v>
      </c>
    </row>
    <row r="27" spans="1:15" x14ac:dyDescent="0.25">
      <c r="A27">
        <v>26</v>
      </c>
      <c r="B27" t="s">
        <v>125</v>
      </c>
      <c r="C27" t="s">
        <v>126</v>
      </c>
      <c r="D27" t="s">
        <v>15</v>
      </c>
      <c r="F27" t="s">
        <v>43</v>
      </c>
      <c r="G27" t="s">
        <v>17</v>
      </c>
      <c r="H27" t="s">
        <v>26</v>
      </c>
      <c r="I27" t="s">
        <v>44</v>
      </c>
      <c r="J27">
        <v>4</v>
      </c>
      <c r="K27">
        <v>8</v>
      </c>
      <c r="L27" t="s">
        <v>127</v>
      </c>
      <c r="M27" t="s">
        <v>128</v>
      </c>
      <c r="N27" t="str">
        <f t="shared" si="0"/>
        <v>Detractor</v>
      </c>
      <c r="O27">
        <f t="shared" si="1"/>
        <v>80</v>
      </c>
    </row>
    <row r="28" spans="1:15" x14ac:dyDescent="0.25">
      <c r="A28">
        <v>27</v>
      </c>
      <c r="B28" t="s">
        <v>129</v>
      </c>
      <c r="C28" t="s">
        <v>130</v>
      </c>
      <c r="D28" t="s">
        <v>15</v>
      </c>
      <c r="F28" t="s">
        <v>36</v>
      </c>
      <c r="G28" t="s">
        <v>17</v>
      </c>
      <c r="H28" t="s">
        <v>26</v>
      </c>
      <c r="I28" t="s">
        <v>19</v>
      </c>
      <c r="J28">
        <v>9</v>
      </c>
      <c r="K28">
        <v>10</v>
      </c>
      <c r="L28" t="s">
        <v>131</v>
      </c>
      <c r="M28" t="s">
        <v>132</v>
      </c>
      <c r="N28" t="str">
        <f t="shared" si="0"/>
        <v>Promoter</v>
      </c>
      <c r="O28">
        <f t="shared" si="1"/>
        <v>100</v>
      </c>
    </row>
    <row r="29" spans="1:15" x14ac:dyDescent="0.25">
      <c r="A29">
        <v>28</v>
      </c>
      <c r="B29" t="s">
        <v>133</v>
      </c>
      <c r="C29" t="s">
        <v>134</v>
      </c>
      <c r="D29" t="s">
        <v>15</v>
      </c>
      <c r="F29" t="s">
        <v>99</v>
      </c>
      <c r="G29" t="s">
        <v>25</v>
      </c>
      <c r="H29" t="s">
        <v>18</v>
      </c>
      <c r="I29" t="s">
        <v>19</v>
      </c>
      <c r="J29">
        <v>3</v>
      </c>
      <c r="K29">
        <v>2</v>
      </c>
      <c r="L29" t="s">
        <v>135</v>
      </c>
      <c r="M29" t="s">
        <v>136</v>
      </c>
      <c r="N29" t="str">
        <f t="shared" si="0"/>
        <v>Detractor</v>
      </c>
      <c r="O29">
        <f t="shared" si="1"/>
        <v>20</v>
      </c>
    </row>
    <row r="30" spans="1:15" x14ac:dyDescent="0.25">
      <c r="A30">
        <v>29</v>
      </c>
      <c r="B30" t="s">
        <v>137</v>
      </c>
      <c r="C30" t="s">
        <v>138</v>
      </c>
      <c r="D30" t="s">
        <v>15</v>
      </c>
      <c r="F30" t="s">
        <v>24</v>
      </c>
      <c r="G30" t="s">
        <v>17</v>
      </c>
      <c r="H30" t="s">
        <v>26</v>
      </c>
      <c r="I30" t="s">
        <v>19</v>
      </c>
      <c r="J30">
        <v>9</v>
      </c>
      <c r="K30">
        <v>9</v>
      </c>
      <c r="L30" t="s">
        <v>139</v>
      </c>
      <c r="M30" t="s">
        <v>140</v>
      </c>
      <c r="N30" t="str">
        <f t="shared" si="0"/>
        <v>Promoter</v>
      </c>
      <c r="O30">
        <f t="shared" si="1"/>
        <v>90</v>
      </c>
    </row>
    <row r="31" spans="1:15" x14ac:dyDescent="0.25">
      <c r="A31">
        <v>30</v>
      </c>
      <c r="B31" t="s">
        <v>141</v>
      </c>
      <c r="C31" t="s">
        <v>142</v>
      </c>
      <c r="D31" t="s">
        <v>15</v>
      </c>
      <c r="F31" t="s">
        <v>99</v>
      </c>
      <c r="G31" t="s">
        <v>25</v>
      </c>
      <c r="H31" t="s">
        <v>18</v>
      </c>
      <c r="I31" t="s">
        <v>19</v>
      </c>
      <c r="J31">
        <v>5</v>
      </c>
      <c r="K31">
        <v>8</v>
      </c>
      <c r="L31" t="s">
        <v>143</v>
      </c>
      <c r="M31" t="s">
        <v>144</v>
      </c>
      <c r="N31" t="str">
        <f t="shared" si="0"/>
        <v>Detractor</v>
      </c>
      <c r="O31">
        <f t="shared" si="1"/>
        <v>80</v>
      </c>
    </row>
    <row r="32" spans="1:15" x14ac:dyDescent="0.25">
      <c r="A32">
        <v>31</v>
      </c>
      <c r="B32" t="s">
        <v>145</v>
      </c>
      <c r="C32" t="s">
        <v>142</v>
      </c>
      <c r="D32" t="s">
        <v>15</v>
      </c>
      <c r="F32" t="s">
        <v>31</v>
      </c>
      <c r="G32" t="s">
        <v>25</v>
      </c>
      <c r="H32" t="s">
        <v>26</v>
      </c>
      <c r="I32" t="s">
        <v>19</v>
      </c>
      <c r="J32">
        <v>10</v>
      </c>
      <c r="K32">
        <v>10</v>
      </c>
      <c r="L32" t="s">
        <v>146</v>
      </c>
      <c r="M32" t="s">
        <v>147</v>
      </c>
      <c r="N32" t="str">
        <f t="shared" si="0"/>
        <v>Promoter</v>
      </c>
      <c r="O32">
        <f t="shared" si="1"/>
        <v>100</v>
      </c>
    </row>
    <row r="33" spans="1:15" x14ac:dyDescent="0.25">
      <c r="A33">
        <v>32</v>
      </c>
      <c r="B33" t="s">
        <v>145</v>
      </c>
      <c r="C33" t="s">
        <v>142</v>
      </c>
      <c r="D33" t="s">
        <v>15</v>
      </c>
      <c r="F33" t="s">
        <v>99</v>
      </c>
      <c r="G33" t="s">
        <v>17</v>
      </c>
      <c r="H33" t="s">
        <v>18</v>
      </c>
      <c r="I33" t="s">
        <v>44</v>
      </c>
      <c r="J33">
        <v>5</v>
      </c>
      <c r="K33">
        <v>9</v>
      </c>
      <c r="L33" t="s">
        <v>148</v>
      </c>
      <c r="M33" t="s">
        <v>149</v>
      </c>
      <c r="N33" t="str">
        <f t="shared" si="0"/>
        <v>Detractor</v>
      </c>
      <c r="O33">
        <f t="shared" si="1"/>
        <v>90</v>
      </c>
    </row>
    <row r="34" spans="1:15" x14ac:dyDescent="0.25">
      <c r="A34">
        <v>33</v>
      </c>
      <c r="B34" t="s">
        <v>150</v>
      </c>
      <c r="C34" t="s">
        <v>151</v>
      </c>
      <c r="D34" t="s">
        <v>15</v>
      </c>
      <c r="F34" t="s">
        <v>58</v>
      </c>
      <c r="G34" t="s">
        <v>17</v>
      </c>
      <c r="H34" t="s">
        <v>26</v>
      </c>
      <c r="I34" t="s">
        <v>19</v>
      </c>
      <c r="J34">
        <v>10</v>
      </c>
      <c r="K34">
        <v>10</v>
      </c>
      <c r="L34" t="s">
        <v>152</v>
      </c>
      <c r="M34" t="s">
        <v>153</v>
      </c>
      <c r="N34" t="str">
        <f t="shared" si="0"/>
        <v>Promoter</v>
      </c>
      <c r="O34">
        <f t="shared" si="1"/>
        <v>100</v>
      </c>
    </row>
    <row r="35" spans="1:15" x14ac:dyDescent="0.25">
      <c r="A35">
        <v>34</v>
      </c>
      <c r="B35" t="s">
        <v>145</v>
      </c>
      <c r="C35" t="s">
        <v>154</v>
      </c>
      <c r="D35" t="s">
        <v>15</v>
      </c>
      <c r="F35" t="s">
        <v>99</v>
      </c>
      <c r="G35" t="s">
        <v>17</v>
      </c>
      <c r="H35" t="s">
        <v>26</v>
      </c>
      <c r="I35" t="s">
        <v>19</v>
      </c>
      <c r="J35">
        <v>8</v>
      </c>
      <c r="K35">
        <v>10</v>
      </c>
      <c r="L35" t="s">
        <v>155</v>
      </c>
      <c r="M35" t="s">
        <v>156</v>
      </c>
      <c r="N35" t="str">
        <f t="shared" si="0"/>
        <v>Passive</v>
      </c>
      <c r="O35">
        <f t="shared" si="1"/>
        <v>100</v>
      </c>
    </row>
    <row r="36" spans="1:15" x14ac:dyDescent="0.25">
      <c r="A36">
        <v>35</v>
      </c>
      <c r="B36" t="s">
        <v>150</v>
      </c>
      <c r="C36" t="s">
        <v>157</v>
      </c>
      <c r="D36" t="s">
        <v>15</v>
      </c>
      <c r="F36" t="s">
        <v>158</v>
      </c>
      <c r="G36" t="s">
        <v>17</v>
      </c>
      <c r="H36" t="s">
        <v>26</v>
      </c>
      <c r="I36" t="s">
        <v>44</v>
      </c>
      <c r="J36">
        <v>5</v>
      </c>
      <c r="K36">
        <v>7</v>
      </c>
      <c r="L36" s="1" t="s">
        <v>159</v>
      </c>
      <c r="M36" s="1" t="s">
        <v>160</v>
      </c>
      <c r="N36" t="str">
        <f t="shared" si="0"/>
        <v>Detractor</v>
      </c>
      <c r="O36">
        <f t="shared" si="1"/>
        <v>70</v>
      </c>
    </row>
    <row r="37" spans="1:15" x14ac:dyDescent="0.25">
      <c r="A37">
        <v>36</v>
      </c>
      <c r="B37" t="s">
        <v>161</v>
      </c>
      <c r="C37" t="s">
        <v>162</v>
      </c>
      <c r="D37" t="s">
        <v>15</v>
      </c>
      <c r="F37" t="s">
        <v>24</v>
      </c>
      <c r="G37" t="s">
        <v>17</v>
      </c>
      <c r="H37" t="s">
        <v>26</v>
      </c>
      <c r="I37" t="s">
        <v>19</v>
      </c>
      <c r="J37">
        <v>8</v>
      </c>
      <c r="K37">
        <v>10</v>
      </c>
      <c r="L37" t="s">
        <v>163</v>
      </c>
      <c r="M37" t="s">
        <v>164</v>
      </c>
      <c r="N37" t="str">
        <f t="shared" si="0"/>
        <v>Passive</v>
      </c>
      <c r="O37">
        <f t="shared" si="1"/>
        <v>100</v>
      </c>
    </row>
    <row r="38" spans="1:15" x14ac:dyDescent="0.25">
      <c r="A38">
        <v>37</v>
      </c>
      <c r="B38" t="s">
        <v>150</v>
      </c>
      <c r="C38" t="s">
        <v>165</v>
      </c>
      <c r="D38" t="s">
        <v>15</v>
      </c>
      <c r="F38" t="s">
        <v>158</v>
      </c>
      <c r="G38" t="s">
        <v>17</v>
      </c>
      <c r="H38" t="s">
        <v>26</v>
      </c>
      <c r="I38" t="s">
        <v>44</v>
      </c>
      <c r="J38">
        <v>7</v>
      </c>
      <c r="K38">
        <v>7</v>
      </c>
      <c r="L38" t="s">
        <v>166</v>
      </c>
      <c r="M38" t="s">
        <v>167</v>
      </c>
      <c r="N38" t="str">
        <f t="shared" si="0"/>
        <v>Passive</v>
      </c>
      <c r="O38">
        <f t="shared" si="1"/>
        <v>70</v>
      </c>
    </row>
    <row r="39" spans="1:15" x14ac:dyDescent="0.25">
      <c r="A39">
        <v>38</v>
      </c>
      <c r="B39" t="s">
        <v>145</v>
      </c>
      <c r="C39" t="s">
        <v>168</v>
      </c>
      <c r="D39" t="s">
        <v>15</v>
      </c>
      <c r="F39" t="s">
        <v>43</v>
      </c>
      <c r="G39" t="s">
        <v>17</v>
      </c>
      <c r="H39" t="s">
        <v>26</v>
      </c>
      <c r="I39" t="s">
        <v>19</v>
      </c>
      <c r="J39">
        <v>6</v>
      </c>
      <c r="K39">
        <v>8</v>
      </c>
      <c r="L39" t="s">
        <v>169</v>
      </c>
      <c r="M39" t="s">
        <v>170</v>
      </c>
      <c r="N39" t="str">
        <f t="shared" si="0"/>
        <v>Detractor</v>
      </c>
      <c r="O39">
        <f t="shared" si="1"/>
        <v>80</v>
      </c>
    </row>
    <row r="40" spans="1:15" x14ac:dyDescent="0.25">
      <c r="A40">
        <v>39</v>
      </c>
      <c r="B40" t="s">
        <v>171</v>
      </c>
      <c r="C40" t="s">
        <v>172</v>
      </c>
      <c r="D40" t="s">
        <v>15</v>
      </c>
      <c r="F40" t="s">
        <v>99</v>
      </c>
      <c r="G40" t="s">
        <v>17</v>
      </c>
      <c r="H40" t="s">
        <v>18</v>
      </c>
      <c r="I40" t="s">
        <v>19</v>
      </c>
      <c r="J40">
        <v>8</v>
      </c>
      <c r="K40">
        <v>8</v>
      </c>
      <c r="L40" t="s">
        <v>173</v>
      </c>
      <c r="M40" t="s">
        <v>174</v>
      </c>
      <c r="N40" t="str">
        <f t="shared" si="0"/>
        <v>Passive</v>
      </c>
      <c r="O40">
        <f t="shared" si="1"/>
        <v>80</v>
      </c>
    </row>
    <row r="41" spans="1:15" x14ac:dyDescent="0.25">
      <c r="A41">
        <v>40</v>
      </c>
      <c r="B41" t="s">
        <v>175</v>
      </c>
      <c r="C41" t="s">
        <v>176</v>
      </c>
      <c r="D41" t="s">
        <v>15</v>
      </c>
      <c r="F41" t="s">
        <v>58</v>
      </c>
      <c r="G41" t="s">
        <v>25</v>
      </c>
      <c r="H41" t="s">
        <v>18</v>
      </c>
      <c r="I41" t="s">
        <v>19</v>
      </c>
      <c r="J41">
        <v>6</v>
      </c>
      <c r="K41">
        <v>10</v>
      </c>
      <c r="L41" t="s">
        <v>177</v>
      </c>
      <c r="M41" t="s">
        <v>177</v>
      </c>
      <c r="N41" t="str">
        <f t="shared" si="0"/>
        <v>Detractor</v>
      </c>
      <c r="O41">
        <f t="shared" si="1"/>
        <v>100</v>
      </c>
    </row>
    <row r="42" spans="1:15" x14ac:dyDescent="0.25">
      <c r="A42">
        <v>41</v>
      </c>
      <c r="B42" t="s">
        <v>178</v>
      </c>
      <c r="C42" t="s">
        <v>179</v>
      </c>
      <c r="D42" t="s">
        <v>15</v>
      </c>
      <c r="F42" t="s">
        <v>58</v>
      </c>
      <c r="G42" t="s">
        <v>25</v>
      </c>
      <c r="H42" t="s">
        <v>26</v>
      </c>
      <c r="I42" t="s">
        <v>19</v>
      </c>
      <c r="J42">
        <v>9</v>
      </c>
      <c r="K42">
        <v>8</v>
      </c>
      <c r="L42" t="s">
        <v>180</v>
      </c>
      <c r="M42" t="s">
        <v>181</v>
      </c>
      <c r="N42" t="str">
        <f t="shared" si="0"/>
        <v>Promoter</v>
      </c>
      <c r="O42">
        <f t="shared" si="1"/>
        <v>80</v>
      </c>
    </row>
    <row r="43" spans="1:15" x14ac:dyDescent="0.25">
      <c r="A43">
        <v>42</v>
      </c>
      <c r="B43" t="s">
        <v>165</v>
      </c>
      <c r="C43" t="s">
        <v>182</v>
      </c>
      <c r="D43" t="s">
        <v>15</v>
      </c>
      <c r="F43" t="s">
        <v>24</v>
      </c>
      <c r="G43" t="s">
        <v>49</v>
      </c>
      <c r="H43" t="s">
        <v>18</v>
      </c>
      <c r="I43" t="s">
        <v>19</v>
      </c>
      <c r="J43">
        <v>7</v>
      </c>
      <c r="K43">
        <v>5</v>
      </c>
      <c r="L43" s="1" t="s">
        <v>183</v>
      </c>
      <c r="M43" s="1" t="s">
        <v>184</v>
      </c>
      <c r="N43" t="str">
        <f t="shared" si="0"/>
        <v>Passive</v>
      </c>
      <c r="O43">
        <f t="shared" si="1"/>
        <v>50</v>
      </c>
    </row>
    <row r="44" spans="1:15" x14ac:dyDescent="0.25">
      <c r="A44">
        <v>43</v>
      </c>
      <c r="B44" t="s">
        <v>175</v>
      </c>
      <c r="C44" t="s">
        <v>185</v>
      </c>
      <c r="D44" t="s">
        <v>15</v>
      </c>
      <c r="F44" t="s">
        <v>24</v>
      </c>
      <c r="G44" t="s">
        <v>25</v>
      </c>
      <c r="H44" t="s">
        <v>26</v>
      </c>
      <c r="I44" t="s">
        <v>19</v>
      </c>
      <c r="J44">
        <v>5</v>
      </c>
      <c r="K44">
        <v>5</v>
      </c>
      <c r="L44" t="s">
        <v>186</v>
      </c>
      <c r="M44" t="s">
        <v>187</v>
      </c>
      <c r="N44" t="str">
        <f t="shared" si="0"/>
        <v>Detractor</v>
      </c>
      <c r="O44">
        <f t="shared" si="1"/>
        <v>50</v>
      </c>
    </row>
    <row r="45" spans="1:15" x14ac:dyDescent="0.25">
      <c r="A45">
        <v>44</v>
      </c>
      <c r="B45" t="s">
        <v>188</v>
      </c>
      <c r="C45" t="s">
        <v>189</v>
      </c>
      <c r="D45" t="s">
        <v>15</v>
      </c>
      <c r="F45" t="s">
        <v>31</v>
      </c>
      <c r="G45" t="s">
        <v>17</v>
      </c>
      <c r="H45" t="s">
        <v>18</v>
      </c>
      <c r="I45" t="s">
        <v>19</v>
      </c>
      <c r="J45">
        <v>10</v>
      </c>
      <c r="K45">
        <v>10</v>
      </c>
      <c r="L45" t="s">
        <v>190</v>
      </c>
      <c r="M45" t="s">
        <v>191</v>
      </c>
      <c r="N45" t="str">
        <f t="shared" si="0"/>
        <v>Promoter</v>
      </c>
      <c r="O45">
        <f t="shared" si="1"/>
        <v>100</v>
      </c>
    </row>
    <row r="46" spans="1:15" x14ac:dyDescent="0.25">
      <c r="A46">
        <v>45</v>
      </c>
      <c r="B46" t="s">
        <v>192</v>
      </c>
      <c r="C46" t="s">
        <v>193</v>
      </c>
      <c r="D46" t="s">
        <v>15</v>
      </c>
      <c r="F46" t="s">
        <v>58</v>
      </c>
      <c r="G46" t="s">
        <v>17</v>
      </c>
      <c r="H46" t="s">
        <v>26</v>
      </c>
      <c r="I46" t="s">
        <v>19</v>
      </c>
      <c r="J46">
        <v>8</v>
      </c>
      <c r="K46">
        <v>9</v>
      </c>
      <c r="L46" t="s">
        <v>194</v>
      </c>
      <c r="M46" t="s">
        <v>195</v>
      </c>
      <c r="N46" t="str">
        <f t="shared" si="0"/>
        <v>Passive</v>
      </c>
      <c r="O46">
        <f t="shared" si="1"/>
        <v>90</v>
      </c>
    </row>
    <row r="47" spans="1:15" x14ac:dyDescent="0.25">
      <c r="A47">
        <v>46</v>
      </c>
      <c r="B47" t="s">
        <v>196</v>
      </c>
      <c r="C47" t="s">
        <v>197</v>
      </c>
      <c r="D47" t="s">
        <v>15</v>
      </c>
      <c r="F47" t="s">
        <v>31</v>
      </c>
      <c r="G47" t="s">
        <v>17</v>
      </c>
      <c r="H47" t="s">
        <v>26</v>
      </c>
      <c r="I47" t="s">
        <v>19</v>
      </c>
      <c r="J47">
        <v>10</v>
      </c>
      <c r="K47">
        <v>8</v>
      </c>
      <c r="L47" t="s">
        <v>198</v>
      </c>
      <c r="M47" t="s">
        <v>198</v>
      </c>
      <c r="N47" t="str">
        <f t="shared" si="0"/>
        <v>Promoter</v>
      </c>
      <c r="O47">
        <f t="shared" si="1"/>
        <v>80</v>
      </c>
    </row>
    <row r="48" spans="1:15" x14ac:dyDescent="0.25">
      <c r="A48">
        <v>47</v>
      </c>
      <c r="B48" t="s">
        <v>199</v>
      </c>
      <c r="C48" t="s">
        <v>200</v>
      </c>
      <c r="D48" t="s">
        <v>15</v>
      </c>
      <c r="F48" t="s">
        <v>43</v>
      </c>
      <c r="G48" t="s">
        <v>17</v>
      </c>
      <c r="H48" t="s">
        <v>26</v>
      </c>
      <c r="I48" t="s">
        <v>44</v>
      </c>
      <c r="J48">
        <v>7</v>
      </c>
      <c r="K48">
        <v>9</v>
      </c>
      <c r="L48" t="s">
        <v>201</v>
      </c>
      <c r="M48" t="s">
        <v>202</v>
      </c>
      <c r="N48" t="str">
        <f t="shared" si="0"/>
        <v>Passive</v>
      </c>
      <c r="O48">
        <f t="shared" si="1"/>
        <v>90</v>
      </c>
    </row>
    <row r="49" spans="1:15" x14ac:dyDescent="0.25">
      <c r="A49">
        <v>48</v>
      </c>
      <c r="B49" t="s">
        <v>199</v>
      </c>
      <c r="C49" t="s">
        <v>203</v>
      </c>
      <c r="D49" t="s">
        <v>15</v>
      </c>
      <c r="F49" t="s">
        <v>31</v>
      </c>
      <c r="G49" t="s">
        <v>17</v>
      </c>
      <c r="H49" t="s">
        <v>26</v>
      </c>
      <c r="I49" t="s">
        <v>19</v>
      </c>
      <c r="J49">
        <v>10</v>
      </c>
      <c r="K49">
        <v>10</v>
      </c>
      <c r="L49" t="s">
        <v>204</v>
      </c>
      <c r="M49" t="s">
        <v>205</v>
      </c>
      <c r="N49" t="str">
        <f t="shared" si="0"/>
        <v>Promoter</v>
      </c>
      <c r="O49">
        <f t="shared" si="1"/>
        <v>100</v>
      </c>
    </row>
    <row r="50" spans="1:15" x14ac:dyDescent="0.25">
      <c r="A50">
        <v>49</v>
      </c>
      <c r="B50" t="s">
        <v>203</v>
      </c>
      <c r="C50" t="s">
        <v>206</v>
      </c>
      <c r="D50" t="s">
        <v>15</v>
      </c>
      <c r="F50" t="s">
        <v>99</v>
      </c>
      <c r="G50" t="s">
        <v>25</v>
      </c>
      <c r="H50" t="s">
        <v>18</v>
      </c>
      <c r="I50" t="s">
        <v>19</v>
      </c>
      <c r="J50">
        <v>6</v>
      </c>
      <c r="K50">
        <v>7</v>
      </c>
      <c r="L50" t="s">
        <v>207</v>
      </c>
      <c r="M50" t="s">
        <v>208</v>
      </c>
      <c r="N50" t="str">
        <f t="shared" si="0"/>
        <v>Detractor</v>
      </c>
      <c r="O50">
        <f t="shared" si="1"/>
        <v>70</v>
      </c>
    </row>
    <row r="51" spans="1:15" x14ac:dyDescent="0.25">
      <c r="A51">
        <v>50</v>
      </c>
      <c r="B51" t="s">
        <v>209</v>
      </c>
      <c r="C51" t="s">
        <v>210</v>
      </c>
      <c r="D51" t="s">
        <v>15</v>
      </c>
      <c r="F51" t="s">
        <v>31</v>
      </c>
      <c r="G51" t="s">
        <v>17</v>
      </c>
      <c r="H51" t="s">
        <v>26</v>
      </c>
      <c r="I51" t="s">
        <v>19</v>
      </c>
      <c r="J51">
        <v>9</v>
      </c>
      <c r="K51">
        <v>9</v>
      </c>
      <c r="L51" t="s">
        <v>211</v>
      </c>
      <c r="M51" t="s">
        <v>212</v>
      </c>
      <c r="N51" t="str">
        <f t="shared" si="0"/>
        <v>Promoter</v>
      </c>
      <c r="O51">
        <f t="shared" si="1"/>
        <v>90</v>
      </c>
    </row>
    <row r="52" spans="1:15" x14ac:dyDescent="0.25">
      <c r="A52">
        <v>51</v>
      </c>
      <c r="B52" t="s">
        <v>213</v>
      </c>
      <c r="C52" t="s">
        <v>214</v>
      </c>
      <c r="D52" t="s">
        <v>15</v>
      </c>
      <c r="F52" t="s">
        <v>31</v>
      </c>
      <c r="G52" t="s">
        <v>17</v>
      </c>
      <c r="H52" t="s">
        <v>18</v>
      </c>
      <c r="I52" t="s">
        <v>19</v>
      </c>
      <c r="J52">
        <v>10</v>
      </c>
      <c r="K52">
        <v>10</v>
      </c>
      <c r="L52" t="s">
        <v>215</v>
      </c>
      <c r="M52" t="s">
        <v>216</v>
      </c>
      <c r="N52" t="str">
        <f t="shared" si="0"/>
        <v>Promoter</v>
      </c>
      <c r="O52">
        <f t="shared" si="1"/>
        <v>100</v>
      </c>
    </row>
    <row r="53" spans="1:15" x14ac:dyDescent="0.25">
      <c r="A53">
        <v>52</v>
      </c>
      <c r="B53" t="s">
        <v>217</v>
      </c>
      <c r="C53" t="s">
        <v>218</v>
      </c>
      <c r="D53" t="s">
        <v>15</v>
      </c>
      <c r="F53" t="s">
        <v>58</v>
      </c>
      <c r="G53" t="s">
        <v>49</v>
      </c>
      <c r="H53" t="s">
        <v>26</v>
      </c>
      <c r="I53" t="s">
        <v>19</v>
      </c>
      <c r="J53">
        <v>8</v>
      </c>
      <c r="K53">
        <v>7</v>
      </c>
      <c r="L53" t="s">
        <v>219</v>
      </c>
      <c r="M53" t="s">
        <v>220</v>
      </c>
      <c r="N53" t="str">
        <f t="shared" si="0"/>
        <v>Passive</v>
      </c>
      <c r="O53">
        <f t="shared" si="1"/>
        <v>70</v>
      </c>
    </row>
    <row r="54" spans="1:15" x14ac:dyDescent="0.25">
      <c r="A54">
        <v>53</v>
      </c>
      <c r="B54" t="s">
        <v>221</v>
      </c>
      <c r="C54" t="s">
        <v>222</v>
      </c>
      <c r="D54" t="s">
        <v>15</v>
      </c>
      <c r="F54" t="s">
        <v>31</v>
      </c>
      <c r="G54" t="s">
        <v>17</v>
      </c>
      <c r="H54" t="s">
        <v>18</v>
      </c>
      <c r="I54" t="s">
        <v>19</v>
      </c>
      <c r="J54">
        <v>7</v>
      </c>
      <c r="K54">
        <v>8</v>
      </c>
      <c r="L54" t="s">
        <v>223</v>
      </c>
      <c r="M54" t="s">
        <v>224</v>
      </c>
      <c r="N54" t="str">
        <f t="shared" si="0"/>
        <v>Passive</v>
      </c>
      <c r="O54">
        <f t="shared" si="1"/>
        <v>80</v>
      </c>
    </row>
    <row r="55" spans="1:15" x14ac:dyDescent="0.25">
      <c r="A55">
        <v>54</v>
      </c>
      <c r="B55" t="s">
        <v>221</v>
      </c>
      <c r="C55" t="s">
        <v>225</v>
      </c>
      <c r="D55" t="s">
        <v>15</v>
      </c>
      <c r="F55" t="s">
        <v>31</v>
      </c>
      <c r="G55" t="s">
        <v>17</v>
      </c>
      <c r="H55" t="s">
        <v>26</v>
      </c>
      <c r="I55" t="s">
        <v>19</v>
      </c>
      <c r="J55">
        <v>8</v>
      </c>
      <c r="K55">
        <v>8</v>
      </c>
      <c r="L55" s="1" t="s">
        <v>226</v>
      </c>
      <c r="M55" s="1" t="s">
        <v>227</v>
      </c>
      <c r="N55" t="str">
        <f t="shared" si="0"/>
        <v>Passive</v>
      </c>
      <c r="O55">
        <f t="shared" si="1"/>
        <v>80</v>
      </c>
    </row>
    <row r="56" spans="1:15" x14ac:dyDescent="0.25">
      <c r="A56">
        <v>55</v>
      </c>
      <c r="B56" t="s">
        <v>222</v>
      </c>
      <c r="C56" t="s">
        <v>225</v>
      </c>
      <c r="D56" t="s">
        <v>15</v>
      </c>
      <c r="F56" t="s">
        <v>31</v>
      </c>
      <c r="G56" t="s">
        <v>17</v>
      </c>
      <c r="H56" t="s">
        <v>26</v>
      </c>
      <c r="I56" t="s">
        <v>19</v>
      </c>
      <c r="J56">
        <v>9</v>
      </c>
      <c r="K56">
        <v>10</v>
      </c>
      <c r="L56" t="s">
        <v>228</v>
      </c>
      <c r="M56" t="s">
        <v>229</v>
      </c>
      <c r="N56" t="str">
        <f t="shared" si="0"/>
        <v>Promoter</v>
      </c>
      <c r="O56">
        <f t="shared" si="1"/>
        <v>100</v>
      </c>
    </row>
    <row r="57" spans="1:15" x14ac:dyDescent="0.25">
      <c r="A57">
        <v>56</v>
      </c>
      <c r="B57" t="s">
        <v>230</v>
      </c>
      <c r="C57" t="s">
        <v>231</v>
      </c>
      <c r="D57" t="s">
        <v>15</v>
      </c>
      <c r="F57" t="s">
        <v>99</v>
      </c>
      <c r="G57" t="s">
        <v>17</v>
      </c>
      <c r="H57" t="s">
        <v>18</v>
      </c>
      <c r="I57" t="s">
        <v>19</v>
      </c>
      <c r="J57">
        <v>8</v>
      </c>
      <c r="K57">
        <v>8</v>
      </c>
      <c r="L57" t="s">
        <v>232</v>
      </c>
      <c r="M57" t="s">
        <v>233</v>
      </c>
      <c r="N57" t="str">
        <f t="shared" si="0"/>
        <v>Passive</v>
      </c>
      <c r="O57">
        <f t="shared" si="1"/>
        <v>80</v>
      </c>
    </row>
    <row r="58" spans="1:15" x14ac:dyDescent="0.25">
      <c r="A58">
        <v>57</v>
      </c>
      <c r="B58" t="s">
        <v>234</v>
      </c>
      <c r="C58" t="s">
        <v>235</v>
      </c>
      <c r="D58" t="s">
        <v>15</v>
      </c>
      <c r="F58" t="s">
        <v>31</v>
      </c>
      <c r="G58" t="s">
        <v>17</v>
      </c>
      <c r="H58" t="s">
        <v>26</v>
      </c>
      <c r="I58" t="s">
        <v>19</v>
      </c>
      <c r="J58">
        <v>9</v>
      </c>
      <c r="K58">
        <v>8</v>
      </c>
      <c r="L58" t="s">
        <v>236</v>
      </c>
      <c r="M58" t="s">
        <v>237</v>
      </c>
      <c r="N58" t="str">
        <f t="shared" si="0"/>
        <v>Promoter</v>
      </c>
      <c r="O58">
        <f t="shared" si="1"/>
        <v>80</v>
      </c>
    </row>
    <row r="59" spans="1:15" x14ac:dyDescent="0.25">
      <c r="A59">
        <v>58</v>
      </c>
      <c r="B59" t="s">
        <v>238</v>
      </c>
      <c r="C59" t="s">
        <v>239</v>
      </c>
      <c r="D59" t="s">
        <v>15</v>
      </c>
      <c r="F59" t="s">
        <v>31</v>
      </c>
      <c r="G59" t="s">
        <v>17</v>
      </c>
      <c r="H59" t="s">
        <v>18</v>
      </c>
      <c r="I59" t="s">
        <v>19</v>
      </c>
      <c r="J59">
        <v>9</v>
      </c>
      <c r="K59">
        <v>10</v>
      </c>
      <c r="L59" t="s">
        <v>240</v>
      </c>
      <c r="M59" t="s">
        <v>241</v>
      </c>
      <c r="N59" t="str">
        <f t="shared" si="0"/>
        <v>Promoter</v>
      </c>
      <c r="O59">
        <f t="shared" si="1"/>
        <v>100</v>
      </c>
    </row>
    <row r="60" spans="1:15" x14ac:dyDescent="0.25">
      <c r="A60">
        <v>59</v>
      </c>
      <c r="B60" t="s">
        <v>242</v>
      </c>
      <c r="C60" t="s">
        <v>243</v>
      </c>
      <c r="D60" t="s">
        <v>15</v>
      </c>
      <c r="F60" t="s">
        <v>16</v>
      </c>
      <c r="G60" t="s">
        <v>17</v>
      </c>
      <c r="H60" t="s">
        <v>26</v>
      </c>
      <c r="I60" t="s">
        <v>19</v>
      </c>
      <c r="J60">
        <v>7</v>
      </c>
      <c r="K60">
        <v>7</v>
      </c>
      <c r="L60" t="s">
        <v>244</v>
      </c>
      <c r="M60" t="s">
        <v>245</v>
      </c>
      <c r="N60" t="str">
        <f t="shared" si="0"/>
        <v>Passive</v>
      </c>
      <c r="O60">
        <f t="shared" si="1"/>
        <v>70</v>
      </c>
    </row>
    <row r="61" spans="1:15" x14ac:dyDescent="0.25">
      <c r="A61">
        <v>60</v>
      </c>
      <c r="B61" t="s">
        <v>246</v>
      </c>
      <c r="C61" t="s">
        <v>247</v>
      </c>
      <c r="D61" t="s">
        <v>15</v>
      </c>
      <c r="F61" t="s">
        <v>31</v>
      </c>
      <c r="G61" t="s">
        <v>17</v>
      </c>
      <c r="H61" t="s">
        <v>18</v>
      </c>
      <c r="I61" t="s">
        <v>19</v>
      </c>
      <c r="J61">
        <v>9</v>
      </c>
      <c r="K61">
        <v>8</v>
      </c>
      <c r="L61" t="s">
        <v>248</v>
      </c>
      <c r="M61" t="s">
        <v>249</v>
      </c>
      <c r="N61" t="str">
        <f t="shared" si="0"/>
        <v>Promoter</v>
      </c>
      <c r="O61">
        <f t="shared" si="1"/>
        <v>80</v>
      </c>
    </row>
    <row r="62" spans="1:15" x14ac:dyDescent="0.25">
      <c r="A62">
        <v>61</v>
      </c>
      <c r="B62" t="s">
        <v>250</v>
      </c>
      <c r="C62" t="s">
        <v>251</v>
      </c>
      <c r="D62" t="s">
        <v>15</v>
      </c>
      <c r="F62" t="s">
        <v>31</v>
      </c>
      <c r="G62" t="s">
        <v>49</v>
      </c>
      <c r="H62" t="s">
        <v>26</v>
      </c>
      <c r="I62" t="s">
        <v>19</v>
      </c>
      <c r="J62">
        <v>9</v>
      </c>
      <c r="K62">
        <v>10</v>
      </c>
      <c r="L62" t="s">
        <v>252</v>
      </c>
      <c r="M62" t="s">
        <v>253</v>
      </c>
      <c r="N62" t="str">
        <f t="shared" si="0"/>
        <v>Promoter</v>
      </c>
      <c r="O62">
        <f t="shared" si="1"/>
        <v>100</v>
      </c>
    </row>
    <row r="63" spans="1:15" x14ac:dyDescent="0.25">
      <c r="A63">
        <v>62</v>
      </c>
      <c r="B63" t="s">
        <v>254</v>
      </c>
      <c r="C63" t="s">
        <v>255</v>
      </c>
      <c r="D63" t="s">
        <v>15</v>
      </c>
      <c r="F63" t="s">
        <v>31</v>
      </c>
      <c r="G63" t="s">
        <v>17</v>
      </c>
      <c r="H63" t="s">
        <v>26</v>
      </c>
      <c r="I63" t="s">
        <v>19</v>
      </c>
      <c r="J63">
        <v>8</v>
      </c>
      <c r="K63">
        <v>7</v>
      </c>
      <c r="L63" s="1" t="s">
        <v>256</v>
      </c>
      <c r="M63" t="s">
        <v>257</v>
      </c>
      <c r="N63" t="str">
        <f t="shared" si="0"/>
        <v>Passive</v>
      </c>
      <c r="O63">
        <f t="shared" si="1"/>
        <v>70</v>
      </c>
    </row>
    <row r="64" spans="1:15" x14ac:dyDescent="0.25">
      <c r="A64">
        <v>63</v>
      </c>
      <c r="B64" t="s">
        <v>258</v>
      </c>
      <c r="C64" t="s">
        <v>259</v>
      </c>
      <c r="D64" t="s">
        <v>15</v>
      </c>
      <c r="F64" t="s">
        <v>31</v>
      </c>
      <c r="G64" t="s">
        <v>17</v>
      </c>
      <c r="H64" t="s">
        <v>18</v>
      </c>
      <c r="I64" t="s">
        <v>19</v>
      </c>
      <c r="J64">
        <v>8</v>
      </c>
      <c r="K64">
        <v>8</v>
      </c>
      <c r="L64" t="s">
        <v>260</v>
      </c>
      <c r="M64" t="s">
        <v>261</v>
      </c>
      <c r="N64" t="str">
        <f t="shared" si="0"/>
        <v>Passive</v>
      </c>
      <c r="O64">
        <f t="shared" si="1"/>
        <v>80</v>
      </c>
    </row>
    <row r="65" spans="1:15" x14ac:dyDescent="0.25">
      <c r="A65">
        <v>64</v>
      </c>
      <c r="B65" t="s">
        <v>262</v>
      </c>
      <c r="C65" t="s">
        <v>263</v>
      </c>
      <c r="D65" t="s">
        <v>15</v>
      </c>
      <c r="F65" t="s">
        <v>31</v>
      </c>
      <c r="G65" t="s">
        <v>17</v>
      </c>
      <c r="H65" t="s">
        <v>18</v>
      </c>
      <c r="I65" t="s">
        <v>19</v>
      </c>
      <c r="J65">
        <v>10</v>
      </c>
      <c r="K65">
        <v>10</v>
      </c>
      <c r="L65" t="s">
        <v>264</v>
      </c>
      <c r="M65" t="s">
        <v>265</v>
      </c>
      <c r="N65" t="str">
        <f t="shared" si="0"/>
        <v>Promoter</v>
      </c>
      <c r="O65">
        <f t="shared" si="1"/>
        <v>100</v>
      </c>
    </row>
    <row r="66" spans="1:15" x14ac:dyDescent="0.25">
      <c r="A66">
        <v>65</v>
      </c>
      <c r="B66" t="s">
        <v>266</v>
      </c>
      <c r="C66" t="s">
        <v>267</v>
      </c>
      <c r="D66" t="s">
        <v>15</v>
      </c>
      <c r="F66" t="s">
        <v>31</v>
      </c>
      <c r="G66" t="s">
        <v>17</v>
      </c>
      <c r="H66" t="s">
        <v>18</v>
      </c>
      <c r="I66" t="s">
        <v>19</v>
      </c>
      <c r="J66">
        <v>8</v>
      </c>
      <c r="K66">
        <v>6</v>
      </c>
      <c r="L66" t="s">
        <v>268</v>
      </c>
      <c r="M66" t="s">
        <v>269</v>
      </c>
      <c r="N66" t="str">
        <f t="shared" si="0"/>
        <v>Passive</v>
      </c>
      <c r="O66">
        <f t="shared" si="1"/>
        <v>60</v>
      </c>
    </row>
    <row r="67" spans="1:15" x14ac:dyDescent="0.25">
      <c r="A67">
        <v>66</v>
      </c>
      <c r="B67" t="s">
        <v>270</v>
      </c>
      <c r="C67" t="s">
        <v>271</v>
      </c>
      <c r="D67" t="s">
        <v>15</v>
      </c>
      <c r="F67" t="s">
        <v>158</v>
      </c>
      <c r="G67" t="s">
        <v>17</v>
      </c>
      <c r="H67" t="s">
        <v>26</v>
      </c>
      <c r="I67" t="s">
        <v>19</v>
      </c>
      <c r="J67">
        <v>8</v>
      </c>
      <c r="K67">
        <v>10</v>
      </c>
      <c r="L67" t="s">
        <v>272</v>
      </c>
      <c r="M67" t="s">
        <v>273</v>
      </c>
      <c r="N67" t="str">
        <f t="shared" ref="N67:N130" si="2">IF(J67&gt;=9,"Promoter",IF(J67&gt;=7,"Passive","Detractor"))</f>
        <v>Passive</v>
      </c>
      <c r="O67">
        <f t="shared" ref="O67:O130" si="3">K67/10*100</f>
        <v>100</v>
      </c>
    </row>
    <row r="68" spans="1:15" x14ac:dyDescent="0.25">
      <c r="A68">
        <v>67</v>
      </c>
      <c r="B68" t="s">
        <v>274</v>
      </c>
      <c r="C68" t="s">
        <v>275</v>
      </c>
      <c r="D68" t="s">
        <v>15</v>
      </c>
      <c r="F68" t="s">
        <v>31</v>
      </c>
      <c r="G68" t="s">
        <v>49</v>
      </c>
      <c r="H68" t="s">
        <v>18</v>
      </c>
      <c r="I68" t="s">
        <v>19</v>
      </c>
      <c r="J68">
        <v>5</v>
      </c>
      <c r="K68">
        <v>5</v>
      </c>
      <c r="L68" t="s">
        <v>276</v>
      </c>
      <c r="M68" t="s">
        <v>276</v>
      </c>
      <c r="N68" t="str">
        <f t="shared" si="2"/>
        <v>Detractor</v>
      </c>
      <c r="O68">
        <f t="shared" si="3"/>
        <v>50</v>
      </c>
    </row>
    <row r="69" spans="1:15" x14ac:dyDescent="0.25">
      <c r="A69">
        <v>68</v>
      </c>
      <c r="B69" t="s">
        <v>277</v>
      </c>
      <c r="C69" t="s">
        <v>278</v>
      </c>
      <c r="D69" t="s">
        <v>15</v>
      </c>
      <c r="F69" t="s">
        <v>31</v>
      </c>
      <c r="G69" t="s">
        <v>17</v>
      </c>
      <c r="H69" t="s">
        <v>18</v>
      </c>
      <c r="I69" t="s">
        <v>19</v>
      </c>
      <c r="J69">
        <v>8</v>
      </c>
      <c r="K69">
        <v>10</v>
      </c>
      <c r="L69" t="s">
        <v>279</v>
      </c>
      <c r="M69" t="s">
        <v>280</v>
      </c>
      <c r="N69" t="str">
        <f t="shared" si="2"/>
        <v>Passive</v>
      </c>
      <c r="O69">
        <f t="shared" si="3"/>
        <v>100</v>
      </c>
    </row>
    <row r="70" spans="1:15" x14ac:dyDescent="0.25">
      <c r="A70">
        <v>69</v>
      </c>
      <c r="B70" t="s">
        <v>281</v>
      </c>
      <c r="C70" t="s">
        <v>282</v>
      </c>
      <c r="D70" t="s">
        <v>15</v>
      </c>
      <c r="F70" t="s">
        <v>43</v>
      </c>
      <c r="G70" t="s">
        <v>17</v>
      </c>
      <c r="H70" t="s">
        <v>26</v>
      </c>
      <c r="I70" t="s">
        <v>19</v>
      </c>
      <c r="J70">
        <v>9</v>
      </c>
      <c r="K70">
        <v>7</v>
      </c>
      <c r="L70" t="s">
        <v>283</v>
      </c>
      <c r="M70" t="s">
        <v>284</v>
      </c>
      <c r="N70" t="str">
        <f t="shared" si="2"/>
        <v>Promoter</v>
      </c>
      <c r="O70">
        <f t="shared" si="3"/>
        <v>70</v>
      </c>
    </row>
    <row r="71" spans="1:15" x14ac:dyDescent="0.25">
      <c r="A71">
        <v>70</v>
      </c>
      <c r="B71" t="s">
        <v>285</v>
      </c>
      <c r="C71" t="s">
        <v>286</v>
      </c>
      <c r="D71" t="s">
        <v>15</v>
      </c>
      <c r="F71" t="s">
        <v>31</v>
      </c>
      <c r="G71" t="s">
        <v>17</v>
      </c>
      <c r="H71" t="s">
        <v>26</v>
      </c>
      <c r="I71" t="s">
        <v>44</v>
      </c>
      <c r="J71">
        <v>9</v>
      </c>
      <c r="K71">
        <v>6</v>
      </c>
      <c r="L71" t="s">
        <v>287</v>
      </c>
      <c r="M71" t="s">
        <v>288</v>
      </c>
      <c r="N71" t="str">
        <f t="shared" si="2"/>
        <v>Promoter</v>
      </c>
      <c r="O71">
        <f t="shared" si="3"/>
        <v>60</v>
      </c>
    </row>
    <row r="72" spans="1:15" x14ac:dyDescent="0.25">
      <c r="A72">
        <v>71</v>
      </c>
      <c r="B72" t="s">
        <v>289</v>
      </c>
      <c r="C72" t="s">
        <v>290</v>
      </c>
      <c r="D72" t="s">
        <v>15</v>
      </c>
      <c r="F72" t="s">
        <v>31</v>
      </c>
      <c r="G72" t="s">
        <v>17</v>
      </c>
      <c r="H72" t="s">
        <v>18</v>
      </c>
      <c r="I72" t="s">
        <v>19</v>
      </c>
      <c r="J72">
        <v>10</v>
      </c>
      <c r="K72">
        <v>10</v>
      </c>
      <c r="L72" t="s">
        <v>291</v>
      </c>
      <c r="M72" t="s">
        <v>292</v>
      </c>
      <c r="N72" t="str">
        <f t="shared" si="2"/>
        <v>Promoter</v>
      </c>
      <c r="O72">
        <f t="shared" si="3"/>
        <v>100</v>
      </c>
    </row>
    <row r="73" spans="1:15" x14ac:dyDescent="0.25">
      <c r="A73">
        <v>72</v>
      </c>
      <c r="B73" t="s">
        <v>293</v>
      </c>
      <c r="C73" t="s">
        <v>294</v>
      </c>
      <c r="D73" t="s">
        <v>15</v>
      </c>
      <c r="F73" t="s">
        <v>99</v>
      </c>
      <c r="G73" t="s">
        <v>17</v>
      </c>
      <c r="H73" t="s">
        <v>18</v>
      </c>
      <c r="I73" t="s">
        <v>19</v>
      </c>
      <c r="J73">
        <v>10</v>
      </c>
      <c r="K73">
        <v>10</v>
      </c>
      <c r="L73" t="s">
        <v>295</v>
      </c>
      <c r="M73" t="s">
        <v>296</v>
      </c>
      <c r="N73" t="str">
        <f t="shared" si="2"/>
        <v>Promoter</v>
      </c>
      <c r="O73">
        <f t="shared" si="3"/>
        <v>100</v>
      </c>
    </row>
    <row r="74" spans="1:15" x14ac:dyDescent="0.25">
      <c r="A74">
        <v>73</v>
      </c>
      <c r="B74" t="s">
        <v>297</v>
      </c>
      <c r="C74" t="s">
        <v>298</v>
      </c>
      <c r="D74" t="s">
        <v>15</v>
      </c>
      <c r="F74" t="s">
        <v>16</v>
      </c>
      <c r="G74" t="s">
        <v>17</v>
      </c>
      <c r="H74" t="s">
        <v>18</v>
      </c>
      <c r="I74" t="s">
        <v>19</v>
      </c>
      <c r="J74">
        <v>7</v>
      </c>
      <c r="K74">
        <v>6</v>
      </c>
      <c r="L74" t="s">
        <v>299</v>
      </c>
      <c r="M74" t="s">
        <v>300</v>
      </c>
      <c r="N74" t="str">
        <f t="shared" si="2"/>
        <v>Passive</v>
      </c>
      <c r="O74">
        <f t="shared" si="3"/>
        <v>60</v>
      </c>
    </row>
    <row r="75" spans="1:15" x14ac:dyDescent="0.25">
      <c r="A75">
        <v>74</v>
      </c>
      <c r="B75" t="s">
        <v>301</v>
      </c>
      <c r="C75" t="s">
        <v>302</v>
      </c>
      <c r="D75" t="s">
        <v>15</v>
      </c>
      <c r="F75" t="s">
        <v>58</v>
      </c>
      <c r="G75" t="s">
        <v>17</v>
      </c>
      <c r="H75" t="s">
        <v>26</v>
      </c>
      <c r="I75" t="s">
        <v>19</v>
      </c>
      <c r="J75">
        <v>8</v>
      </c>
      <c r="K75">
        <v>8</v>
      </c>
      <c r="L75" t="s">
        <v>303</v>
      </c>
      <c r="M75" t="s">
        <v>304</v>
      </c>
      <c r="N75" t="str">
        <f t="shared" si="2"/>
        <v>Passive</v>
      </c>
      <c r="O75">
        <f t="shared" si="3"/>
        <v>80</v>
      </c>
    </row>
    <row r="76" spans="1:15" x14ac:dyDescent="0.25">
      <c r="A76">
        <v>75</v>
      </c>
      <c r="B76" t="s">
        <v>305</v>
      </c>
      <c r="C76" t="s">
        <v>306</v>
      </c>
      <c r="D76" t="s">
        <v>15</v>
      </c>
      <c r="F76" t="s">
        <v>158</v>
      </c>
      <c r="G76" t="s">
        <v>17</v>
      </c>
      <c r="H76" t="s">
        <v>26</v>
      </c>
      <c r="I76" t="s">
        <v>19</v>
      </c>
      <c r="J76">
        <v>3</v>
      </c>
      <c r="K76">
        <v>7</v>
      </c>
      <c r="L76" s="1" t="s">
        <v>307</v>
      </c>
      <c r="M76" s="1" t="s">
        <v>308</v>
      </c>
      <c r="N76" t="str">
        <f t="shared" si="2"/>
        <v>Detractor</v>
      </c>
      <c r="O76">
        <f t="shared" si="3"/>
        <v>70</v>
      </c>
    </row>
    <row r="77" spans="1:15" x14ac:dyDescent="0.25">
      <c r="A77">
        <v>76</v>
      </c>
      <c r="B77" t="s">
        <v>150</v>
      </c>
      <c r="C77" t="s">
        <v>309</v>
      </c>
      <c r="D77" t="s">
        <v>15</v>
      </c>
      <c r="F77" t="s">
        <v>36</v>
      </c>
      <c r="G77" t="s">
        <v>17</v>
      </c>
      <c r="H77" t="s">
        <v>18</v>
      </c>
      <c r="I77" t="s">
        <v>44</v>
      </c>
      <c r="J77">
        <v>7</v>
      </c>
      <c r="K77">
        <v>6</v>
      </c>
      <c r="L77" s="1" t="s">
        <v>310</v>
      </c>
      <c r="M77" s="1" t="s">
        <v>311</v>
      </c>
      <c r="N77" t="str">
        <f t="shared" si="2"/>
        <v>Passive</v>
      </c>
      <c r="O77">
        <f t="shared" si="3"/>
        <v>60</v>
      </c>
    </row>
    <row r="78" spans="1:15" x14ac:dyDescent="0.25">
      <c r="A78">
        <v>77</v>
      </c>
      <c r="B78" t="s">
        <v>312</v>
      </c>
      <c r="C78" t="s">
        <v>313</v>
      </c>
      <c r="D78" t="s">
        <v>15</v>
      </c>
      <c r="F78" t="s">
        <v>31</v>
      </c>
      <c r="G78" t="s">
        <v>17</v>
      </c>
      <c r="H78" t="s">
        <v>26</v>
      </c>
      <c r="I78" t="s">
        <v>19</v>
      </c>
      <c r="J78">
        <v>7</v>
      </c>
      <c r="K78">
        <v>7</v>
      </c>
      <c r="L78" t="s">
        <v>314</v>
      </c>
      <c r="M78" t="s">
        <v>315</v>
      </c>
      <c r="N78" t="str">
        <f t="shared" si="2"/>
        <v>Passive</v>
      </c>
      <c r="O78">
        <f t="shared" si="3"/>
        <v>70</v>
      </c>
    </row>
    <row r="79" spans="1:15" x14ac:dyDescent="0.25">
      <c r="A79">
        <v>78</v>
      </c>
      <c r="B79" t="s">
        <v>316</v>
      </c>
      <c r="C79" t="s">
        <v>317</v>
      </c>
      <c r="D79" t="s">
        <v>15</v>
      </c>
      <c r="F79" t="s">
        <v>31</v>
      </c>
      <c r="G79" t="s">
        <v>17</v>
      </c>
      <c r="H79" t="s">
        <v>18</v>
      </c>
      <c r="I79" t="s">
        <v>19</v>
      </c>
      <c r="J79">
        <v>6</v>
      </c>
      <c r="K79">
        <v>3</v>
      </c>
      <c r="L79" t="s">
        <v>318</v>
      </c>
      <c r="M79" s="1" t="s">
        <v>319</v>
      </c>
      <c r="N79" t="str">
        <f t="shared" si="2"/>
        <v>Detractor</v>
      </c>
      <c r="O79">
        <f t="shared" si="3"/>
        <v>30</v>
      </c>
    </row>
    <row r="80" spans="1:15" x14ac:dyDescent="0.25">
      <c r="A80">
        <v>79</v>
      </c>
      <c r="B80" t="s">
        <v>320</v>
      </c>
      <c r="C80" t="s">
        <v>321</v>
      </c>
      <c r="D80" t="s">
        <v>15</v>
      </c>
      <c r="F80" t="s">
        <v>31</v>
      </c>
      <c r="G80" t="s">
        <v>49</v>
      </c>
      <c r="H80" t="s">
        <v>26</v>
      </c>
      <c r="I80" t="s">
        <v>19</v>
      </c>
      <c r="J80">
        <v>10</v>
      </c>
      <c r="K80">
        <v>10</v>
      </c>
      <c r="L80" t="s">
        <v>322</v>
      </c>
      <c r="M80" t="s">
        <v>323</v>
      </c>
      <c r="N80" t="str">
        <f t="shared" si="2"/>
        <v>Promoter</v>
      </c>
      <c r="O80">
        <f t="shared" si="3"/>
        <v>100</v>
      </c>
    </row>
    <row r="81" spans="1:15" x14ac:dyDescent="0.25">
      <c r="A81">
        <v>80</v>
      </c>
      <c r="B81" t="s">
        <v>324</v>
      </c>
      <c r="C81" t="s">
        <v>325</v>
      </c>
      <c r="D81" t="s">
        <v>15</v>
      </c>
      <c r="F81" t="s">
        <v>31</v>
      </c>
      <c r="G81" t="s">
        <v>17</v>
      </c>
      <c r="H81" t="s">
        <v>18</v>
      </c>
      <c r="I81" t="s">
        <v>19</v>
      </c>
      <c r="J81">
        <v>8</v>
      </c>
      <c r="K81">
        <v>8</v>
      </c>
      <c r="L81" s="1" t="s">
        <v>326</v>
      </c>
      <c r="M81" t="s">
        <v>327</v>
      </c>
      <c r="N81" t="str">
        <f t="shared" si="2"/>
        <v>Passive</v>
      </c>
      <c r="O81">
        <f t="shared" si="3"/>
        <v>80</v>
      </c>
    </row>
    <row r="82" spans="1:15" x14ac:dyDescent="0.25">
      <c r="A82">
        <v>81</v>
      </c>
      <c r="B82" t="s">
        <v>328</v>
      </c>
      <c r="C82" t="s">
        <v>329</v>
      </c>
      <c r="D82" t="s">
        <v>15</v>
      </c>
      <c r="F82" t="s">
        <v>24</v>
      </c>
      <c r="G82" t="s">
        <v>17</v>
      </c>
      <c r="H82" t="s">
        <v>26</v>
      </c>
      <c r="I82" t="s">
        <v>19</v>
      </c>
      <c r="J82">
        <v>8</v>
      </c>
      <c r="K82">
        <v>6</v>
      </c>
      <c r="L82" t="s">
        <v>330</v>
      </c>
      <c r="M82" t="s">
        <v>331</v>
      </c>
      <c r="N82" t="str">
        <f t="shared" si="2"/>
        <v>Passive</v>
      </c>
      <c r="O82">
        <f t="shared" si="3"/>
        <v>60</v>
      </c>
    </row>
    <row r="83" spans="1:15" x14ac:dyDescent="0.25">
      <c r="A83">
        <v>82</v>
      </c>
      <c r="B83" t="s">
        <v>332</v>
      </c>
      <c r="C83" t="s">
        <v>333</v>
      </c>
      <c r="D83" t="s">
        <v>15</v>
      </c>
      <c r="F83" t="s">
        <v>24</v>
      </c>
      <c r="G83" t="s">
        <v>49</v>
      </c>
      <c r="H83" t="s">
        <v>26</v>
      </c>
      <c r="I83" t="s">
        <v>19</v>
      </c>
      <c r="J83">
        <v>10</v>
      </c>
      <c r="K83">
        <v>9</v>
      </c>
      <c r="L83" t="s">
        <v>334</v>
      </c>
      <c r="M83" t="s">
        <v>335</v>
      </c>
      <c r="N83" t="str">
        <f t="shared" si="2"/>
        <v>Promoter</v>
      </c>
      <c r="O83">
        <f t="shared" si="3"/>
        <v>90</v>
      </c>
    </row>
    <row r="84" spans="1:15" x14ac:dyDescent="0.25">
      <c r="A84">
        <v>83</v>
      </c>
      <c r="B84" t="s">
        <v>336</v>
      </c>
      <c r="C84" t="s">
        <v>337</v>
      </c>
      <c r="D84" t="s">
        <v>15</v>
      </c>
      <c r="F84" t="s">
        <v>24</v>
      </c>
      <c r="G84" t="s">
        <v>49</v>
      </c>
      <c r="H84" t="s">
        <v>26</v>
      </c>
      <c r="I84" t="s">
        <v>19</v>
      </c>
      <c r="J84">
        <v>8</v>
      </c>
      <c r="K84">
        <v>10</v>
      </c>
      <c r="L84" t="s">
        <v>338</v>
      </c>
      <c r="M84" t="s">
        <v>339</v>
      </c>
      <c r="N84" t="str">
        <f t="shared" si="2"/>
        <v>Passive</v>
      </c>
      <c r="O84">
        <f t="shared" si="3"/>
        <v>100</v>
      </c>
    </row>
    <row r="85" spans="1:15" x14ac:dyDescent="0.25">
      <c r="A85">
        <v>84</v>
      </c>
      <c r="B85" t="s">
        <v>340</v>
      </c>
      <c r="C85" t="s">
        <v>341</v>
      </c>
      <c r="D85" t="s">
        <v>15</v>
      </c>
      <c r="F85" t="s">
        <v>24</v>
      </c>
      <c r="G85" t="s">
        <v>17</v>
      </c>
      <c r="H85" t="s">
        <v>26</v>
      </c>
      <c r="I85" t="s">
        <v>19</v>
      </c>
      <c r="J85">
        <v>9</v>
      </c>
      <c r="K85">
        <v>9</v>
      </c>
      <c r="L85" t="s">
        <v>342</v>
      </c>
      <c r="M85" s="1" t="s">
        <v>343</v>
      </c>
      <c r="N85" t="str">
        <f t="shared" si="2"/>
        <v>Promoter</v>
      </c>
      <c r="O85">
        <f t="shared" si="3"/>
        <v>90</v>
      </c>
    </row>
    <row r="86" spans="1:15" x14ac:dyDescent="0.25">
      <c r="A86">
        <v>85</v>
      </c>
      <c r="B86" t="s">
        <v>344</v>
      </c>
      <c r="C86" t="s">
        <v>345</v>
      </c>
      <c r="D86" t="s">
        <v>15</v>
      </c>
      <c r="F86" t="s">
        <v>99</v>
      </c>
      <c r="G86" t="s">
        <v>25</v>
      </c>
      <c r="H86" t="s">
        <v>18</v>
      </c>
      <c r="I86" t="s">
        <v>19</v>
      </c>
      <c r="J86">
        <v>10</v>
      </c>
      <c r="K86">
        <v>10</v>
      </c>
      <c r="L86" t="s">
        <v>40</v>
      </c>
      <c r="M86" t="s">
        <v>346</v>
      </c>
      <c r="N86" t="str">
        <f t="shared" si="2"/>
        <v>Promoter</v>
      </c>
      <c r="O86">
        <f t="shared" si="3"/>
        <v>100</v>
      </c>
    </row>
    <row r="87" spans="1:15" x14ac:dyDescent="0.25">
      <c r="A87">
        <v>86</v>
      </c>
      <c r="B87" t="s">
        <v>347</v>
      </c>
      <c r="C87" t="s">
        <v>348</v>
      </c>
      <c r="D87" t="s">
        <v>15</v>
      </c>
      <c r="F87" t="s">
        <v>31</v>
      </c>
      <c r="G87" t="s">
        <v>17</v>
      </c>
      <c r="H87" t="s">
        <v>18</v>
      </c>
      <c r="I87" t="s">
        <v>19</v>
      </c>
      <c r="J87">
        <v>10</v>
      </c>
      <c r="K87">
        <v>10</v>
      </c>
      <c r="L87" t="s">
        <v>349</v>
      </c>
      <c r="M87" t="s">
        <v>350</v>
      </c>
      <c r="N87" t="str">
        <f t="shared" si="2"/>
        <v>Promoter</v>
      </c>
      <c r="O87">
        <f t="shared" si="3"/>
        <v>100</v>
      </c>
    </row>
    <row r="88" spans="1:15" x14ac:dyDescent="0.25">
      <c r="A88">
        <v>87</v>
      </c>
      <c r="B88" s="2">
        <v>45666.676388888889</v>
      </c>
      <c r="C88" s="2">
        <v>45666.681944444441</v>
      </c>
      <c r="D88" t="s">
        <v>15</v>
      </c>
      <c r="F88" t="s">
        <v>31</v>
      </c>
      <c r="G88" t="s">
        <v>49</v>
      </c>
      <c r="H88" t="s">
        <v>18</v>
      </c>
      <c r="I88" t="s">
        <v>19</v>
      </c>
      <c r="J88">
        <v>10</v>
      </c>
      <c r="K88">
        <v>10</v>
      </c>
      <c r="L88" t="s">
        <v>351</v>
      </c>
      <c r="M88" t="s">
        <v>352</v>
      </c>
      <c r="N88" t="str">
        <f t="shared" si="2"/>
        <v>Promoter</v>
      </c>
      <c r="O88">
        <f t="shared" si="3"/>
        <v>100</v>
      </c>
    </row>
    <row r="89" spans="1:15" x14ac:dyDescent="0.25">
      <c r="A89">
        <v>88</v>
      </c>
      <c r="B89" s="2">
        <v>45909.649305555555</v>
      </c>
      <c r="C89" s="2">
        <v>45909.654861111114</v>
      </c>
      <c r="D89" t="s">
        <v>15</v>
      </c>
      <c r="F89" t="s">
        <v>16</v>
      </c>
      <c r="G89" t="s">
        <v>17</v>
      </c>
      <c r="H89" t="s">
        <v>26</v>
      </c>
      <c r="I89" t="s">
        <v>44</v>
      </c>
      <c r="J89">
        <v>5</v>
      </c>
      <c r="K89">
        <v>6</v>
      </c>
      <c r="L89" t="s">
        <v>353</v>
      </c>
      <c r="M89" t="s">
        <v>354</v>
      </c>
      <c r="N89" t="str">
        <f t="shared" si="2"/>
        <v>Detractor</v>
      </c>
      <c r="O89">
        <f t="shared" si="3"/>
        <v>60</v>
      </c>
    </row>
    <row r="90" spans="1:15" x14ac:dyDescent="0.25">
      <c r="A90">
        <v>89</v>
      </c>
      <c r="B90" s="2">
        <v>45909.675694444442</v>
      </c>
      <c r="C90" s="2">
        <v>45909.677777777775</v>
      </c>
      <c r="D90" t="s">
        <v>15</v>
      </c>
      <c r="F90" t="s">
        <v>58</v>
      </c>
      <c r="G90" t="s">
        <v>17</v>
      </c>
      <c r="H90" t="s">
        <v>26</v>
      </c>
      <c r="I90" t="s">
        <v>19</v>
      </c>
      <c r="J90">
        <v>0</v>
      </c>
      <c r="K90">
        <v>2</v>
      </c>
      <c r="L90" t="s">
        <v>355</v>
      </c>
      <c r="M90" t="s">
        <v>356</v>
      </c>
      <c r="N90" t="str">
        <f t="shared" si="2"/>
        <v>Detractor</v>
      </c>
      <c r="O90">
        <f t="shared" si="3"/>
        <v>20</v>
      </c>
    </row>
    <row r="91" spans="1:15" x14ac:dyDescent="0.25">
      <c r="A91">
        <v>90</v>
      </c>
      <c r="B91" s="2">
        <v>45909.675694444442</v>
      </c>
      <c r="C91" s="2">
        <v>45909.678472222222</v>
      </c>
      <c r="D91" t="s">
        <v>15</v>
      </c>
      <c r="F91" t="s">
        <v>99</v>
      </c>
      <c r="G91" t="s">
        <v>17</v>
      </c>
      <c r="H91" t="s">
        <v>26</v>
      </c>
      <c r="I91" t="s">
        <v>19</v>
      </c>
      <c r="J91">
        <v>6</v>
      </c>
      <c r="K91">
        <v>8</v>
      </c>
      <c r="L91" s="1" t="s">
        <v>357</v>
      </c>
      <c r="M91" t="s">
        <v>358</v>
      </c>
      <c r="N91" t="str">
        <f t="shared" si="2"/>
        <v>Detractor</v>
      </c>
      <c r="O91">
        <f t="shared" si="3"/>
        <v>80</v>
      </c>
    </row>
    <row r="92" spans="1:15" x14ac:dyDescent="0.25">
      <c r="A92">
        <v>91</v>
      </c>
      <c r="B92" s="2">
        <v>45909.675694444442</v>
      </c>
      <c r="C92" s="2">
        <v>45909.678472222222</v>
      </c>
      <c r="D92" t="s">
        <v>15</v>
      </c>
      <c r="F92" t="s">
        <v>99</v>
      </c>
      <c r="G92" t="s">
        <v>17</v>
      </c>
      <c r="H92" t="s">
        <v>26</v>
      </c>
      <c r="I92" t="s">
        <v>19</v>
      </c>
      <c r="J92">
        <v>9</v>
      </c>
      <c r="K92">
        <v>9</v>
      </c>
      <c r="L92" t="s">
        <v>359</v>
      </c>
      <c r="M92" t="s">
        <v>360</v>
      </c>
      <c r="N92" t="str">
        <f t="shared" si="2"/>
        <v>Promoter</v>
      </c>
      <c r="O92">
        <f t="shared" si="3"/>
        <v>90</v>
      </c>
    </row>
    <row r="93" spans="1:15" x14ac:dyDescent="0.25">
      <c r="A93">
        <v>92</v>
      </c>
      <c r="B93" s="2">
        <v>45909.678472222222</v>
      </c>
      <c r="C93" s="2">
        <v>45909.679861111108</v>
      </c>
      <c r="D93" t="s">
        <v>15</v>
      </c>
      <c r="F93" t="s">
        <v>158</v>
      </c>
      <c r="G93" t="s">
        <v>17</v>
      </c>
      <c r="H93" t="s">
        <v>26</v>
      </c>
      <c r="I93" t="s">
        <v>19</v>
      </c>
      <c r="J93">
        <v>9</v>
      </c>
      <c r="K93">
        <v>9</v>
      </c>
      <c r="L93" t="s">
        <v>361</v>
      </c>
      <c r="M93" t="s">
        <v>362</v>
      </c>
      <c r="N93" t="str">
        <f t="shared" si="2"/>
        <v>Promoter</v>
      </c>
      <c r="O93">
        <f t="shared" si="3"/>
        <v>90</v>
      </c>
    </row>
    <row r="94" spans="1:15" x14ac:dyDescent="0.25">
      <c r="A94">
        <v>93</v>
      </c>
      <c r="B94" s="2">
        <v>45909.677777777775</v>
      </c>
      <c r="C94" s="2">
        <v>45909.679861111108</v>
      </c>
      <c r="D94" t="s">
        <v>15</v>
      </c>
      <c r="F94" t="s">
        <v>31</v>
      </c>
      <c r="G94" t="s">
        <v>17</v>
      </c>
      <c r="H94" t="s">
        <v>26</v>
      </c>
      <c r="I94" t="s">
        <v>19</v>
      </c>
      <c r="J94">
        <v>8</v>
      </c>
      <c r="K94">
        <v>10</v>
      </c>
      <c r="L94" t="s">
        <v>363</v>
      </c>
      <c r="M94" t="s">
        <v>364</v>
      </c>
      <c r="N94" t="str">
        <f t="shared" si="2"/>
        <v>Passive</v>
      </c>
      <c r="O94">
        <f t="shared" si="3"/>
        <v>100</v>
      </c>
    </row>
    <row r="95" spans="1:15" x14ac:dyDescent="0.25">
      <c r="A95">
        <v>94</v>
      </c>
      <c r="B95" s="2">
        <v>45909.676388888889</v>
      </c>
      <c r="C95" s="2">
        <v>45909.681250000001</v>
      </c>
      <c r="D95" t="s">
        <v>15</v>
      </c>
      <c r="F95" t="s">
        <v>58</v>
      </c>
      <c r="G95" t="s">
        <v>17</v>
      </c>
      <c r="H95" t="s">
        <v>26</v>
      </c>
      <c r="I95" t="s">
        <v>19</v>
      </c>
      <c r="J95">
        <v>5</v>
      </c>
      <c r="K95">
        <v>4</v>
      </c>
      <c r="L95" t="s">
        <v>365</v>
      </c>
      <c r="M95" t="s">
        <v>366</v>
      </c>
      <c r="N95" t="str">
        <f t="shared" si="2"/>
        <v>Detractor</v>
      </c>
      <c r="O95">
        <f t="shared" si="3"/>
        <v>40</v>
      </c>
    </row>
    <row r="96" spans="1:15" x14ac:dyDescent="0.25">
      <c r="A96">
        <v>95</v>
      </c>
      <c r="B96" s="2">
        <v>45909.679166666669</v>
      </c>
      <c r="C96" s="2">
        <v>45909.681944444441</v>
      </c>
      <c r="D96" t="s">
        <v>15</v>
      </c>
      <c r="F96" t="s">
        <v>58</v>
      </c>
      <c r="G96" t="s">
        <v>17</v>
      </c>
      <c r="H96" t="s">
        <v>26</v>
      </c>
      <c r="I96" t="s">
        <v>19</v>
      </c>
      <c r="J96">
        <v>6</v>
      </c>
      <c r="K96">
        <v>7</v>
      </c>
      <c r="L96" t="s">
        <v>367</v>
      </c>
      <c r="M96" s="1" t="s">
        <v>368</v>
      </c>
      <c r="N96" t="str">
        <f t="shared" si="2"/>
        <v>Detractor</v>
      </c>
      <c r="O96">
        <f t="shared" si="3"/>
        <v>70</v>
      </c>
    </row>
    <row r="97" spans="1:15" x14ac:dyDescent="0.25">
      <c r="A97">
        <v>96</v>
      </c>
      <c r="B97" s="2">
        <v>45909.681250000001</v>
      </c>
      <c r="C97" s="2">
        <v>45909.683333333334</v>
      </c>
      <c r="D97" t="s">
        <v>15</v>
      </c>
      <c r="F97" t="s">
        <v>24</v>
      </c>
      <c r="G97" t="s">
        <v>49</v>
      </c>
      <c r="H97" t="s">
        <v>18</v>
      </c>
      <c r="I97" t="s">
        <v>19</v>
      </c>
      <c r="J97">
        <v>8</v>
      </c>
      <c r="K97">
        <v>9</v>
      </c>
      <c r="L97" t="s">
        <v>369</v>
      </c>
      <c r="M97" t="s">
        <v>370</v>
      </c>
      <c r="N97" t="str">
        <f t="shared" si="2"/>
        <v>Passive</v>
      </c>
      <c r="O97">
        <f t="shared" si="3"/>
        <v>90</v>
      </c>
    </row>
    <row r="98" spans="1:15" x14ac:dyDescent="0.25">
      <c r="A98">
        <v>97</v>
      </c>
      <c r="B98" s="2">
        <v>45909.684027777781</v>
      </c>
      <c r="C98" s="2">
        <v>45909.686111111114</v>
      </c>
      <c r="D98" t="s">
        <v>15</v>
      </c>
      <c r="F98" t="s">
        <v>43</v>
      </c>
      <c r="G98" t="s">
        <v>17</v>
      </c>
      <c r="H98" t="s">
        <v>18</v>
      </c>
      <c r="I98" t="s">
        <v>19</v>
      </c>
      <c r="J98">
        <v>6</v>
      </c>
      <c r="K98">
        <v>7</v>
      </c>
      <c r="L98" t="s">
        <v>371</v>
      </c>
      <c r="M98" t="s">
        <v>372</v>
      </c>
      <c r="N98" t="str">
        <f t="shared" si="2"/>
        <v>Detractor</v>
      </c>
      <c r="O98">
        <f t="shared" si="3"/>
        <v>70</v>
      </c>
    </row>
    <row r="99" spans="1:15" x14ac:dyDescent="0.25">
      <c r="A99">
        <v>98</v>
      </c>
      <c r="B99" s="2">
        <v>45909.684027777781</v>
      </c>
      <c r="C99" s="2">
        <v>45909.686111111114</v>
      </c>
      <c r="D99" t="s">
        <v>15</v>
      </c>
      <c r="F99" t="s">
        <v>31</v>
      </c>
      <c r="G99" t="s">
        <v>17</v>
      </c>
      <c r="H99" t="s">
        <v>26</v>
      </c>
      <c r="I99" t="s">
        <v>19</v>
      </c>
      <c r="J99">
        <v>10</v>
      </c>
      <c r="K99">
        <v>10</v>
      </c>
      <c r="L99" t="s">
        <v>373</v>
      </c>
      <c r="M99" s="1" t="s">
        <v>374</v>
      </c>
      <c r="N99" t="str">
        <f t="shared" si="2"/>
        <v>Promoter</v>
      </c>
      <c r="O99">
        <f t="shared" si="3"/>
        <v>100</v>
      </c>
    </row>
    <row r="100" spans="1:15" x14ac:dyDescent="0.25">
      <c r="A100">
        <v>99</v>
      </c>
      <c r="B100" s="2">
        <v>45909.685416666667</v>
      </c>
      <c r="C100" s="2">
        <v>45909.69027777778</v>
      </c>
      <c r="D100" t="s">
        <v>15</v>
      </c>
      <c r="F100" t="s">
        <v>31</v>
      </c>
      <c r="G100" t="s">
        <v>17</v>
      </c>
      <c r="H100" t="s">
        <v>18</v>
      </c>
      <c r="I100" t="s">
        <v>19</v>
      </c>
      <c r="J100">
        <v>10</v>
      </c>
      <c r="K100">
        <v>10</v>
      </c>
      <c r="L100" t="s">
        <v>375</v>
      </c>
      <c r="M100" s="1" t="s">
        <v>376</v>
      </c>
      <c r="N100" t="str">
        <f t="shared" si="2"/>
        <v>Promoter</v>
      </c>
      <c r="O100">
        <f t="shared" si="3"/>
        <v>100</v>
      </c>
    </row>
    <row r="101" spans="1:15" x14ac:dyDescent="0.25">
      <c r="A101">
        <v>100</v>
      </c>
      <c r="B101" s="2">
        <v>45909.691666666666</v>
      </c>
      <c r="C101" s="2">
        <v>45909.693055555559</v>
      </c>
      <c r="D101" t="s">
        <v>15</v>
      </c>
      <c r="F101" t="s">
        <v>31</v>
      </c>
      <c r="G101" t="s">
        <v>17</v>
      </c>
      <c r="H101" t="s">
        <v>18</v>
      </c>
      <c r="I101" t="s">
        <v>19</v>
      </c>
      <c r="J101">
        <v>8</v>
      </c>
      <c r="K101">
        <v>7</v>
      </c>
      <c r="L101" t="s">
        <v>377</v>
      </c>
      <c r="M101" t="s">
        <v>377</v>
      </c>
      <c r="N101" t="str">
        <f t="shared" si="2"/>
        <v>Passive</v>
      </c>
      <c r="O101">
        <f t="shared" si="3"/>
        <v>70</v>
      </c>
    </row>
    <row r="102" spans="1:15" x14ac:dyDescent="0.25">
      <c r="A102">
        <v>101</v>
      </c>
      <c r="B102" s="2">
        <v>45909.688194444447</v>
      </c>
      <c r="C102" s="2">
        <v>45909.693055555559</v>
      </c>
      <c r="D102" t="s">
        <v>15</v>
      </c>
      <c r="F102" t="s">
        <v>58</v>
      </c>
      <c r="G102" t="s">
        <v>17</v>
      </c>
      <c r="H102" t="s">
        <v>18</v>
      </c>
      <c r="I102" t="s">
        <v>19</v>
      </c>
      <c r="J102">
        <v>10</v>
      </c>
      <c r="K102">
        <v>10</v>
      </c>
      <c r="L102" t="s">
        <v>378</v>
      </c>
      <c r="M102" t="s">
        <v>379</v>
      </c>
      <c r="N102" t="str">
        <f t="shared" si="2"/>
        <v>Promoter</v>
      </c>
      <c r="O102">
        <f t="shared" si="3"/>
        <v>100</v>
      </c>
    </row>
    <row r="103" spans="1:15" x14ac:dyDescent="0.25">
      <c r="A103">
        <v>102</v>
      </c>
      <c r="B103" s="2">
        <v>45909.691666666666</v>
      </c>
      <c r="C103" s="2">
        <v>45909.693749999999</v>
      </c>
      <c r="D103" t="s">
        <v>15</v>
      </c>
      <c r="F103" t="s">
        <v>31</v>
      </c>
      <c r="G103" t="s">
        <v>17</v>
      </c>
      <c r="H103" t="s">
        <v>18</v>
      </c>
      <c r="I103" t="s">
        <v>19</v>
      </c>
      <c r="J103">
        <v>10</v>
      </c>
      <c r="K103">
        <v>8</v>
      </c>
      <c r="L103" t="s">
        <v>380</v>
      </c>
      <c r="M103" t="s">
        <v>381</v>
      </c>
      <c r="N103" t="str">
        <f t="shared" si="2"/>
        <v>Promoter</v>
      </c>
      <c r="O103">
        <f t="shared" si="3"/>
        <v>80</v>
      </c>
    </row>
    <row r="104" spans="1:15" x14ac:dyDescent="0.25">
      <c r="A104">
        <v>103</v>
      </c>
      <c r="B104" s="2">
        <v>45909.693055555559</v>
      </c>
      <c r="C104" s="2">
        <v>45909.693749999999</v>
      </c>
      <c r="D104" t="s">
        <v>15</v>
      </c>
      <c r="F104" t="s">
        <v>31</v>
      </c>
      <c r="G104" t="s">
        <v>17</v>
      </c>
      <c r="H104" t="s">
        <v>18</v>
      </c>
      <c r="I104" t="s">
        <v>19</v>
      </c>
      <c r="J104">
        <v>7</v>
      </c>
      <c r="K104">
        <v>9</v>
      </c>
      <c r="L104" s="1" t="s">
        <v>382</v>
      </c>
      <c r="M104" t="s">
        <v>383</v>
      </c>
      <c r="N104" t="str">
        <f t="shared" si="2"/>
        <v>Passive</v>
      </c>
      <c r="O104">
        <f t="shared" si="3"/>
        <v>90</v>
      </c>
    </row>
    <row r="105" spans="1:15" x14ac:dyDescent="0.25">
      <c r="A105">
        <v>104</v>
      </c>
      <c r="B105" s="2">
        <v>45909.694444444445</v>
      </c>
      <c r="C105" s="2">
        <v>45909.696527777778</v>
      </c>
      <c r="D105" t="s">
        <v>15</v>
      </c>
      <c r="F105" t="s">
        <v>158</v>
      </c>
      <c r="G105" t="s">
        <v>17</v>
      </c>
      <c r="H105" t="s">
        <v>26</v>
      </c>
      <c r="I105" t="s">
        <v>19</v>
      </c>
      <c r="J105">
        <v>8</v>
      </c>
      <c r="K105">
        <v>8</v>
      </c>
      <c r="L105" t="s">
        <v>384</v>
      </c>
      <c r="M105" t="s">
        <v>385</v>
      </c>
      <c r="N105" t="str">
        <f t="shared" si="2"/>
        <v>Passive</v>
      </c>
      <c r="O105">
        <f t="shared" si="3"/>
        <v>80</v>
      </c>
    </row>
    <row r="106" spans="1:15" x14ac:dyDescent="0.25">
      <c r="A106">
        <v>105</v>
      </c>
      <c r="B106" s="2">
        <v>45909.690972222219</v>
      </c>
      <c r="C106" s="2">
        <v>45909.697916666664</v>
      </c>
      <c r="D106" t="s">
        <v>15</v>
      </c>
      <c r="F106" t="s">
        <v>16</v>
      </c>
      <c r="G106" t="s">
        <v>25</v>
      </c>
      <c r="H106" t="s">
        <v>18</v>
      </c>
      <c r="I106" t="s">
        <v>19</v>
      </c>
      <c r="J106">
        <v>8</v>
      </c>
      <c r="K106">
        <v>8</v>
      </c>
      <c r="L106" t="s">
        <v>386</v>
      </c>
      <c r="M106" t="s">
        <v>387</v>
      </c>
      <c r="N106" t="str">
        <f t="shared" si="2"/>
        <v>Passive</v>
      </c>
      <c r="O106">
        <f t="shared" si="3"/>
        <v>80</v>
      </c>
    </row>
    <row r="107" spans="1:15" x14ac:dyDescent="0.25">
      <c r="A107">
        <v>106</v>
      </c>
      <c r="B107" s="2">
        <v>45909.708333333336</v>
      </c>
      <c r="C107" s="2">
        <v>45909.709027777775</v>
      </c>
      <c r="D107" t="s">
        <v>15</v>
      </c>
      <c r="F107" t="s">
        <v>31</v>
      </c>
      <c r="G107" t="s">
        <v>17</v>
      </c>
      <c r="H107" t="s">
        <v>18</v>
      </c>
      <c r="I107" t="s">
        <v>19</v>
      </c>
      <c r="J107">
        <v>8</v>
      </c>
      <c r="K107">
        <v>7</v>
      </c>
      <c r="L107" t="s">
        <v>198</v>
      </c>
      <c r="M107" t="s">
        <v>198</v>
      </c>
      <c r="N107" t="str">
        <f t="shared" si="2"/>
        <v>Passive</v>
      </c>
      <c r="O107">
        <f t="shared" si="3"/>
        <v>70</v>
      </c>
    </row>
    <row r="108" spans="1:15" x14ac:dyDescent="0.25">
      <c r="A108">
        <v>107</v>
      </c>
      <c r="B108" s="2">
        <v>45909.706944444442</v>
      </c>
      <c r="C108" s="2">
        <v>45909.710416666669</v>
      </c>
      <c r="D108" t="s">
        <v>15</v>
      </c>
      <c r="F108" t="s">
        <v>31</v>
      </c>
      <c r="G108" t="s">
        <v>17</v>
      </c>
      <c r="H108" t="s">
        <v>18</v>
      </c>
      <c r="I108" t="s">
        <v>19</v>
      </c>
      <c r="J108">
        <v>7</v>
      </c>
      <c r="K108">
        <v>7</v>
      </c>
      <c r="L108" s="1" t="s">
        <v>388</v>
      </c>
      <c r="M108" s="1" t="s">
        <v>389</v>
      </c>
      <c r="N108" t="str">
        <f t="shared" si="2"/>
        <v>Passive</v>
      </c>
      <c r="O108">
        <f t="shared" si="3"/>
        <v>70</v>
      </c>
    </row>
    <row r="109" spans="1:15" x14ac:dyDescent="0.25">
      <c r="A109">
        <v>108</v>
      </c>
      <c r="B109" s="2">
        <v>45909.70416666667</v>
      </c>
      <c r="C109" s="2">
        <v>45909.714583333334</v>
      </c>
      <c r="D109" t="s">
        <v>15</v>
      </c>
      <c r="F109" t="s">
        <v>58</v>
      </c>
      <c r="G109" t="s">
        <v>17</v>
      </c>
      <c r="H109" t="s">
        <v>18</v>
      </c>
      <c r="I109" t="s">
        <v>19</v>
      </c>
      <c r="J109">
        <v>10</v>
      </c>
      <c r="K109">
        <v>10</v>
      </c>
      <c r="L109" t="s">
        <v>390</v>
      </c>
      <c r="M109" t="s">
        <v>391</v>
      </c>
      <c r="N109" t="str">
        <f t="shared" si="2"/>
        <v>Promoter</v>
      </c>
      <c r="O109">
        <f t="shared" si="3"/>
        <v>100</v>
      </c>
    </row>
    <row r="110" spans="1:15" x14ac:dyDescent="0.25">
      <c r="A110">
        <v>109</v>
      </c>
      <c r="B110" s="2">
        <v>45909.705555555556</v>
      </c>
      <c r="C110" s="2">
        <v>45909.715277777781</v>
      </c>
      <c r="D110" t="s">
        <v>15</v>
      </c>
      <c r="F110" t="s">
        <v>31</v>
      </c>
      <c r="G110" t="s">
        <v>17</v>
      </c>
      <c r="H110" t="s">
        <v>18</v>
      </c>
      <c r="I110" t="s">
        <v>19</v>
      </c>
      <c r="J110">
        <v>10</v>
      </c>
      <c r="K110">
        <v>10</v>
      </c>
      <c r="L110" t="s">
        <v>392</v>
      </c>
      <c r="M110" t="s">
        <v>393</v>
      </c>
      <c r="N110" t="str">
        <f t="shared" si="2"/>
        <v>Promoter</v>
      </c>
      <c r="O110">
        <f t="shared" si="3"/>
        <v>100</v>
      </c>
    </row>
    <row r="111" spans="1:15" x14ac:dyDescent="0.25">
      <c r="A111">
        <v>110</v>
      </c>
      <c r="B111" s="2">
        <v>45909.713194444441</v>
      </c>
      <c r="C111" s="2">
        <v>45909.716666666667</v>
      </c>
      <c r="D111" t="s">
        <v>15</v>
      </c>
      <c r="F111" t="s">
        <v>31</v>
      </c>
      <c r="G111" t="s">
        <v>17</v>
      </c>
      <c r="H111" t="s">
        <v>18</v>
      </c>
      <c r="I111" t="s">
        <v>19</v>
      </c>
      <c r="J111">
        <v>10</v>
      </c>
      <c r="K111">
        <v>10</v>
      </c>
      <c r="L111" t="s">
        <v>394</v>
      </c>
      <c r="M111" t="s">
        <v>395</v>
      </c>
      <c r="N111" t="str">
        <f t="shared" si="2"/>
        <v>Promoter</v>
      </c>
      <c r="O111">
        <f t="shared" si="3"/>
        <v>100</v>
      </c>
    </row>
    <row r="112" spans="1:15" x14ac:dyDescent="0.25">
      <c r="A112">
        <v>111</v>
      </c>
      <c r="B112" s="2">
        <v>45909.713888888888</v>
      </c>
      <c r="C112" s="2">
        <v>45909.718055555553</v>
      </c>
      <c r="D112" t="s">
        <v>15</v>
      </c>
      <c r="F112" t="s">
        <v>31</v>
      </c>
      <c r="G112" t="s">
        <v>17</v>
      </c>
      <c r="H112" t="s">
        <v>18</v>
      </c>
      <c r="I112" t="s">
        <v>19</v>
      </c>
      <c r="J112">
        <v>10</v>
      </c>
      <c r="K112">
        <v>10</v>
      </c>
      <c r="L112" t="s">
        <v>396</v>
      </c>
      <c r="M112" t="s">
        <v>397</v>
      </c>
      <c r="N112" t="str">
        <f t="shared" si="2"/>
        <v>Promoter</v>
      </c>
      <c r="O112">
        <f t="shared" si="3"/>
        <v>100</v>
      </c>
    </row>
    <row r="113" spans="1:15" x14ac:dyDescent="0.25">
      <c r="A113">
        <v>112</v>
      </c>
      <c r="B113" s="2">
        <v>45909.716666666667</v>
      </c>
      <c r="C113" s="2">
        <v>45909.718055555553</v>
      </c>
      <c r="D113" t="s">
        <v>15</v>
      </c>
      <c r="F113" t="s">
        <v>31</v>
      </c>
      <c r="G113" t="s">
        <v>17</v>
      </c>
      <c r="H113" t="s">
        <v>18</v>
      </c>
      <c r="I113" t="s">
        <v>19</v>
      </c>
      <c r="J113">
        <v>10</v>
      </c>
      <c r="K113">
        <v>10</v>
      </c>
      <c r="L113" t="s">
        <v>398</v>
      </c>
      <c r="M113" t="s">
        <v>399</v>
      </c>
      <c r="N113" t="str">
        <f t="shared" si="2"/>
        <v>Promoter</v>
      </c>
      <c r="O113">
        <f t="shared" si="3"/>
        <v>100</v>
      </c>
    </row>
    <row r="114" spans="1:15" x14ac:dyDescent="0.25">
      <c r="A114">
        <v>113</v>
      </c>
      <c r="B114" s="2">
        <v>45909.73333333333</v>
      </c>
      <c r="C114" s="2">
        <v>45909.738194444442</v>
      </c>
      <c r="D114" t="s">
        <v>15</v>
      </c>
      <c r="F114" t="s">
        <v>31</v>
      </c>
      <c r="G114" t="s">
        <v>17</v>
      </c>
      <c r="H114" t="s">
        <v>18</v>
      </c>
      <c r="I114" t="s">
        <v>19</v>
      </c>
      <c r="J114">
        <v>10</v>
      </c>
      <c r="K114">
        <v>10</v>
      </c>
      <c r="L114" s="1" t="s">
        <v>400</v>
      </c>
      <c r="M114" s="1" t="s">
        <v>401</v>
      </c>
      <c r="N114" t="str">
        <f t="shared" si="2"/>
        <v>Promoter</v>
      </c>
      <c r="O114">
        <f t="shared" si="3"/>
        <v>100</v>
      </c>
    </row>
    <row r="115" spans="1:15" x14ac:dyDescent="0.25">
      <c r="A115">
        <v>114</v>
      </c>
      <c r="B115" s="2">
        <v>45909.738194444442</v>
      </c>
      <c r="C115" s="2">
        <v>45909.743055555555</v>
      </c>
      <c r="D115" t="s">
        <v>15</v>
      </c>
      <c r="F115" t="s">
        <v>31</v>
      </c>
      <c r="G115" t="s">
        <v>17</v>
      </c>
      <c r="H115" t="s">
        <v>18</v>
      </c>
      <c r="I115" t="s">
        <v>44</v>
      </c>
      <c r="J115">
        <v>10</v>
      </c>
      <c r="K115">
        <v>10</v>
      </c>
      <c r="L115" t="s">
        <v>402</v>
      </c>
      <c r="M115" t="s">
        <v>403</v>
      </c>
      <c r="N115" t="str">
        <f t="shared" si="2"/>
        <v>Promoter</v>
      </c>
      <c r="O115">
        <f t="shared" si="3"/>
        <v>100</v>
      </c>
    </row>
    <row r="116" spans="1:15" x14ac:dyDescent="0.25">
      <c r="A116">
        <v>115</v>
      </c>
      <c r="B116" s="2">
        <v>45909.745138888888</v>
      </c>
      <c r="C116" s="2">
        <v>45909.745138888888</v>
      </c>
      <c r="D116" t="s">
        <v>15</v>
      </c>
      <c r="F116" t="s">
        <v>158</v>
      </c>
      <c r="G116" t="s">
        <v>17</v>
      </c>
      <c r="H116" t="s">
        <v>26</v>
      </c>
      <c r="I116" t="s">
        <v>19</v>
      </c>
      <c r="J116">
        <v>10</v>
      </c>
      <c r="K116">
        <v>8</v>
      </c>
      <c r="L116" t="s">
        <v>404</v>
      </c>
      <c r="M116" t="s">
        <v>405</v>
      </c>
      <c r="N116" t="str">
        <f t="shared" si="2"/>
        <v>Promoter</v>
      </c>
      <c r="O116">
        <f t="shared" si="3"/>
        <v>80</v>
      </c>
    </row>
    <row r="117" spans="1:15" x14ac:dyDescent="0.25">
      <c r="A117">
        <v>116</v>
      </c>
      <c r="B117" s="2">
        <v>45909.790277777778</v>
      </c>
      <c r="C117" s="2">
        <v>45909.79583333333</v>
      </c>
      <c r="D117" t="s">
        <v>15</v>
      </c>
      <c r="F117" t="s">
        <v>31</v>
      </c>
      <c r="G117" t="s">
        <v>17</v>
      </c>
      <c r="H117" t="s">
        <v>18</v>
      </c>
      <c r="I117" t="s">
        <v>44</v>
      </c>
      <c r="J117">
        <v>10</v>
      </c>
      <c r="K117">
        <v>8</v>
      </c>
      <c r="L117" t="s">
        <v>406</v>
      </c>
      <c r="M117" t="s">
        <v>407</v>
      </c>
      <c r="N117" t="str">
        <f t="shared" si="2"/>
        <v>Promoter</v>
      </c>
      <c r="O117">
        <f t="shared" si="3"/>
        <v>80</v>
      </c>
    </row>
    <row r="118" spans="1:15" x14ac:dyDescent="0.25">
      <c r="A118">
        <v>117</v>
      </c>
      <c r="B118" s="2">
        <v>45909.79791666667</v>
      </c>
      <c r="C118" s="2">
        <v>45909.802083333336</v>
      </c>
      <c r="D118" t="s">
        <v>15</v>
      </c>
      <c r="F118" t="s">
        <v>31</v>
      </c>
      <c r="G118" t="s">
        <v>49</v>
      </c>
      <c r="H118" t="s">
        <v>18</v>
      </c>
      <c r="I118" t="s">
        <v>19</v>
      </c>
      <c r="J118">
        <v>10</v>
      </c>
      <c r="K118">
        <v>10</v>
      </c>
      <c r="L118" t="s">
        <v>408</v>
      </c>
      <c r="M118" t="s">
        <v>409</v>
      </c>
      <c r="N118" t="str">
        <f t="shared" si="2"/>
        <v>Promoter</v>
      </c>
      <c r="O118">
        <f t="shared" si="3"/>
        <v>100</v>
      </c>
    </row>
    <row r="119" spans="1:15" x14ac:dyDescent="0.25">
      <c r="A119">
        <v>118</v>
      </c>
      <c r="B119" s="2">
        <v>45909.804166666669</v>
      </c>
      <c r="C119" s="2">
        <v>45909.809027777781</v>
      </c>
      <c r="D119" t="s">
        <v>15</v>
      </c>
      <c r="F119" t="s">
        <v>99</v>
      </c>
      <c r="G119" t="s">
        <v>17</v>
      </c>
      <c r="H119" t="s">
        <v>18</v>
      </c>
      <c r="I119" t="s">
        <v>19</v>
      </c>
      <c r="J119">
        <v>10</v>
      </c>
      <c r="K119">
        <v>10</v>
      </c>
      <c r="L119" s="1" t="s">
        <v>410</v>
      </c>
      <c r="M119" t="s">
        <v>411</v>
      </c>
      <c r="N119" t="str">
        <f t="shared" si="2"/>
        <v>Promoter</v>
      </c>
      <c r="O119">
        <f t="shared" si="3"/>
        <v>100</v>
      </c>
    </row>
    <row r="120" spans="1:15" x14ac:dyDescent="0.25">
      <c r="A120">
        <v>119</v>
      </c>
      <c r="B120" s="2">
        <v>45909.810416666667</v>
      </c>
      <c r="C120" s="2">
        <v>45909.813194444447</v>
      </c>
      <c r="D120" t="s">
        <v>15</v>
      </c>
      <c r="F120" t="s">
        <v>31</v>
      </c>
      <c r="G120" t="s">
        <v>49</v>
      </c>
      <c r="H120" t="s">
        <v>18</v>
      </c>
      <c r="I120" t="s">
        <v>19</v>
      </c>
      <c r="J120">
        <v>10</v>
      </c>
      <c r="K120">
        <v>10</v>
      </c>
      <c r="L120" t="s">
        <v>412</v>
      </c>
      <c r="M120" t="s">
        <v>413</v>
      </c>
      <c r="N120" t="str">
        <f t="shared" si="2"/>
        <v>Promoter</v>
      </c>
      <c r="O120">
        <f t="shared" si="3"/>
        <v>100</v>
      </c>
    </row>
    <row r="121" spans="1:15" x14ac:dyDescent="0.25">
      <c r="A121">
        <v>120</v>
      </c>
      <c r="B121" s="2">
        <v>45909.829861111109</v>
      </c>
      <c r="C121" s="2">
        <v>45909.831944444442</v>
      </c>
      <c r="D121" t="s">
        <v>15</v>
      </c>
      <c r="F121" t="s">
        <v>31</v>
      </c>
      <c r="G121" t="s">
        <v>49</v>
      </c>
      <c r="H121" t="s">
        <v>18</v>
      </c>
      <c r="I121" t="s">
        <v>19</v>
      </c>
      <c r="J121">
        <v>2</v>
      </c>
      <c r="K121">
        <v>1</v>
      </c>
      <c r="L121" t="s">
        <v>414</v>
      </c>
      <c r="M121" t="s">
        <v>415</v>
      </c>
      <c r="N121" t="str">
        <f t="shared" si="2"/>
        <v>Detractor</v>
      </c>
      <c r="O121">
        <f t="shared" si="3"/>
        <v>10</v>
      </c>
    </row>
    <row r="122" spans="1:15" x14ac:dyDescent="0.25">
      <c r="A122">
        <v>121</v>
      </c>
      <c r="B122" s="2">
        <v>45909.831250000003</v>
      </c>
      <c r="C122" s="2">
        <v>45909.832638888889</v>
      </c>
      <c r="D122" t="s">
        <v>15</v>
      </c>
      <c r="F122" t="s">
        <v>99</v>
      </c>
      <c r="G122" t="s">
        <v>17</v>
      </c>
      <c r="H122" t="s">
        <v>18</v>
      </c>
      <c r="I122" t="s">
        <v>19</v>
      </c>
      <c r="J122">
        <v>7</v>
      </c>
      <c r="K122">
        <v>7</v>
      </c>
      <c r="L122" t="s">
        <v>416</v>
      </c>
      <c r="M122" t="s">
        <v>417</v>
      </c>
      <c r="N122" t="str">
        <f t="shared" si="2"/>
        <v>Passive</v>
      </c>
      <c r="O122">
        <f t="shared" si="3"/>
        <v>70</v>
      </c>
    </row>
    <row r="123" spans="1:15" x14ac:dyDescent="0.25">
      <c r="A123">
        <v>122</v>
      </c>
      <c r="B123" s="2">
        <v>45939.168055555558</v>
      </c>
      <c r="C123" s="2">
        <v>45939.171527777777</v>
      </c>
      <c r="D123" t="s">
        <v>15</v>
      </c>
      <c r="F123" t="s">
        <v>43</v>
      </c>
      <c r="G123" t="s">
        <v>17</v>
      </c>
      <c r="H123" t="s">
        <v>26</v>
      </c>
      <c r="I123" t="s">
        <v>19</v>
      </c>
      <c r="J123">
        <v>7</v>
      </c>
      <c r="K123">
        <v>6</v>
      </c>
      <c r="L123" t="s">
        <v>418</v>
      </c>
      <c r="M123" t="s">
        <v>419</v>
      </c>
      <c r="N123" t="str">
        <f t="shared" si="2"/>
        <v>Passive</v>
      </c>
      <c r="O123">
        <f t="shared" si="3"/>
        <v>60</v>
      </c>
    </row>
    <row r="124" spans="1:15" x14ac:dyDescent="0.25">
      <c r="A124">
        <v>123</v>
      </c>
      <c r="B124" s="2">
        <v>45939.378472222219</v>
      </c>
      <c r="C124" s="2">
        <v>45939.384027777778</v>
      </c>
      <c r="D124" t="s">
        <v>15</v>
      </c>
      <c r="F124" t="s">
        <v>31</v>
      </c>
      <c r="G124" t="s">
        <v>17</v>
      </c>
      <c r="H124" t="s">
        <v>18</v>
      </c>
      <c r="I124" t="s">
        <v>19</v>
      </c>
      <c r="J124">
        <v>8</v>
      </c>
      <c r="K124">
        <v>9</v>
      </c>
      <c r="L124" t="s">
        <v>420</v>
      </c>
      <c r="M124" t="s">
        <v>421</v>
      </c>
      <c r="N124" t="str">
        <f t="shared" si="2"/>
        <v>Passive</v>
      </c>
      <c r="O124">
        <f t="shared" si="3"/>
        <v>90</v>
      </c>
    </row>
    <row r="125" spans="1:15" x14ac:dyDescent="0.25">
      <c r="A125">
        <v>124</v>
      </c>
      <c r="B125" s="2">
        <v>45939.404861111114</v>
      </c>
      <c r="C125" s="2">
        <v>45939.417361111111</v>
      </c>
      <c r="D125" t="s">
        <v>15</v>
      </c>
      <c r="F125" t="s">
        <v>43</v>
      </c>
      <c r="G125" t="s">
        <v>17</v>
      </c>
      <c r="H125" t="s">
        <v>18</v>
      </c>
      <c r="I125" t="s">
        <v>44</v>
      </c>
      <c r="J125">
        <v>8</v>
      </c>
      <c r="K125">
        <v>10</v>
      </c>
      <c r="L125" t="s">
        <v>422</v>
      </c>
      <c r="M125" t="s">
        <v>423</v>
      </c>
      <c r="N125" t="str">
        <f t="shared" si="2"/>
        <v>Passive</v>
      </c>
      <c r="O125">
        <f t="shared" si="3"/>
        <v>100</v>
      </c>
    </row>
    <row r="126" spans="1:15" x14ac:dyDescent="0.25">
      <c r="A126">
        <v>125</v>
      </c>
      <c r="B126" s="2">
        <v>45939.418055555558</v>
      </c>
      <c r="C126" s="2">
        <v>45939.418749999997</v>
      </c>
      <c r="D126" t="s">
        <v>15</v>
      </c>
      <c r="F126" t="s">
        <v>31</v>
      </c>
      <c r="G126" t="s">
        <v>17</v>
      </c>
      <c r="H126" t="s">
        <v>18</v>
      </c>
      <c r="I126" t="s">
        <v>19</v>
      </c>
      <c r="J126">
        <v>9</v>
      </c>
      <c r="K126">
        <v>9</v>
      </c>
      <c r="L126">
        <v>8</v>
      </c>
      <c r="M126" t="s">
        <v>424</v>
      </c>
      <c r="N126" t="str">
        <f t="shared" si="2"/>
        <v>Promoter</v>
      </c>
      <c r="O126">
        <f t="shared" si="3"/>
        <v>90</v>
      </c>
    </row>
    <row r="127" spans="1:15" x14ac:dyDescent="0.25">
      <c r="A127">
        <v>126</v>
      </c>
      <c r="B127" s="2">
        <v>45939.418749999997</v>
      </c>
      <c r="C127" s="2">
        <v>45939.421527777777</v>
      </c>
      <c r="D127" t="s">
        <v>15</v>
      </c>
      <c r="F127" t="s">
        <v>31</v>
      </c>
      <c r="G127" t="s">
        <v>49</v>
      </c>
      <c r="H127" t="s">
        <v>18</v>
      </c>
      <c r="I127" t="s">
        <v>19</v>
      </c>
      <c r="J127">
        <v>8</v>
      </c>
      <c r="K127">
        <v>9</v>
      </c>
      <c r="L127" t="s">
        <v>425</v>
      </c>
      <c r="M127" t="s">
        <v>426</v>
      </c>
      <c r="N127" t="str">
        <f t="shared" si="2"/>
        <v>Passive</v>
      </c>
      <c r="O127">
        <f t="shared" si="3"/>
        <v>90</v>
      </c>
    </row>
    <row r="128" spans="1:15" x14ac:dyDescent="0.25">
      <c r="A128">
        <v>127</v>
      </c>
      <c r="B128" s="2">
        <v>45939.477777777778</v>
      </c>
      <c r="C128" s="2">
        <v>45939.479861111111</v>
      </c>
      <c r="D128" t="s">
        <v>15</v>
      </c>
      <c r="F128" t="s">
        <v>31</v>
      </c>
      <c r="G128" t="s">
        <v>49</v>
      </c>
      <c r="H128" t="s">
        <v>26</v>
      </c>
      <c r="I128" t="s">
        <v>19</v>
      </c>
      <c r="J128">
        <v>10</v>
      </c>
      <c r="K128">
        <v>10</v>
      </c>
      <c r="L128" t="s">
        <v>427</v>
      </c>
      <c r="M128" t="s">
        <v>428</v>
      </c>
      <c r="N128" t="str">
        <f t="shared" si="2"/>
        <v>Promoter</v>
      </c>
      <c r="O128">
        <f t="shared" si="3"/>
        <v>100</v>
      </c>
    </row>
    <row r="129" spans="1:15" x14ac:dyDescent="0.25">
      <c r="A129">
        <v>128</v>
      </c>
      <c r="B129" s="2">
        <v>45939.481944444444</v>
      </c>
      <c r="C129" s="2">
        <v>45939.484722222223</v>
      </c>
      <c r="D129" t="s">
        <v>15</v>
      </c>
      <c r="F129" t="s">
        <v>31</v>
      </c>
      <c r="G129" t="s">
        <v>25</v>
      </c>
      <c r="H129" t="s">
        <v>18</v>
      </c>
      <c r="I129" t="s">
        <v>19</v>
      </c>
      <c r="J129">
        <v>6</v>
      </c>
      <c r="K129">
        <v>5</v>
      </c>
      <c r="L129" t="s">
        <v>429</v>
      </c>
      <c r="M129" t="s">
        <v>430</v>
      </c>
      <c r="N129" t="str">
        <f t="shared" si="2"/>
        <v>Detractor</v>
      </c>
      <c r="O129">
        <f t="shared" si="3"/>
        <v>50</v>
      </c>
    </row>
    <row r="130" spans="1:15" x14ac:dyDescent="0.25">
      <c r="A130">
        <v>129</v>
      </c>
      <c r="B130" s="2">
        <v>45939.544444444444</v>
      </c>
      <c r="C130" s="2">
        <v>45939.545138888891</v>
      </c>
      <c r="D130" t="s">
        <v>15</v>
      </c>
      <c r="F130" t="s">
        <v>99</v>
      </c>
      <c r="G130" t="s">
        <v>17</v>
      </c>
      <c r="H130" t="s">
        <v>26</v>
      </c>
      <c r="I130" t="s">
        <v>44</v>
      </c>
      <c r="J130">
        <v>8</v>
      </c>
      <c r="K130">
        <v>9</v>
      </c>
      <c r="L130" t="s">
        <v>431</v>
      </c>
      <c r="M130" t="s">
        <v>432</v>
      </c>
      <c r="N130" t="str">
        <f t="shared" si="2"/>
        <v>Passive</v>
      </c>
      <c r="O130">
        <f t="shared" si="3"/>
        <v>90</v>
      </c>
    </row>
    <row r="131" spans="1:15" x14ac:dyDescent="0.25">
      <c r="A131">
        <v>130</v>
      </c>
      <c r="B131" s="2">
        <v>45939.866666666669</v>
      </c>
      <c r="C131" s="2">
        <v>45939.868750000001</v>
      </c>
      <c r="D131" t="s">
        <v>15</v>
      </c>
      <c r="F131" t="s">
        <v>31</v>
      </c>
      <c r="G131" t="s">
        <v>17</v>
      </c>
      <c r="H131" t="s">
        <v>18</v>
      </c>
      <c r="I131" t="s">
        <v>19</v>
      </c>
      <c r="J131">
        <v>10</v>
      </c>
      <c r="K131">
        <v>8</v>
      </c>
      <c r="L131" t="s">
        <v>433</v>
      </c>
      <c r="M131" t="s">
        <v>434</v>
      </c>
      <c r="N131" t="str">
        <f t="shared" ref="N131:N185" si="4">IF(J131&gt;=9,"Promoter",IF(J131&gt;=7,"Passive","Detractor"))</f>
        <v>Promoter</v>
      </c>
      <c r="O131">
        <f t="shared" ref="O131:O185" si="5">K131/10*100</f>
        <v>80</v>
      </c>
    </row>
    <row r="132" spans="1:15" x14ac:dyDescent="0.25">
      <c r="A132">
        <v>131</v>
      </c>
      <c r="B132" s="2">
        <v>45970.519444444442</v>
      </c>
      <c r="C132" s="2">
        <v>45970.538194444445</v>
      </c>
      <c r="D132" t="s">
        <v>15</v>
      </c>
      <c r="F132" t="s">
        <v>31</v>
      </c>
      <c r="G132" t="s">
        <v>25</v>
      </c>
      <c r="H132" t="s">
        <v>26</v>
      </c>
      <c r="I132" t="s">
        <v>19</v>
      </c>
      <c r="J132">
        <v>10</v>
      </c>
      <c r="K132">
        <v>9</v>
      </c>
      <c r="L132" t="s">
        <v>435</v>
      </c>
      <c r="M132" t="s">
        <v>436</v>
      </c>
      <c r="N132" t="str">
        <f t="shared" si="4"/>
        <v>Promoter</v>
      </c>
      <c r="O132">
        <f t="shared" si="5"/>
        <v>90</v>
      </c>
    </row>
    <row r="133" spans="1:15" x14ac:dyDescent="0.25">
      <c r="A133">
        <v>132</v>
      </c>
      <c r="B133" s="2">
        <v>45970.635416666664</v>
      </c>
      <c r="C133" s="2">
        <v>45970.637499999997</v>
      </c>
      <c r="D133" t="s">
        <v>15</v>
      </c>
      <c r="F133" t="s">
        <v>31</v>
      </c>
      <c r="G133" t="s">
        <v>17</v>
      </c>
      <c r="H133" t="s">
        <v>18</v>
      </c>
      <c r="I133" t="s">
        <v>19</v>
      </c>
      <c r="J133">
        <v>8</v>
      </c>
      <c r="K133">
        <v>6</v>
      </c>
      <c r="L133" t="s">
        <v>437</v>
      </c>
      <c r="M133" s="1" t="s">
        <v>438</v>
      </c>
      <c r="N133" t="str">
        <f t="shared" si="4"/>
        <v>Passive</v>
      </c>
      <c r="O133">
        <f t="shared" si="5"/>
        <v>60</v>
      </c>
    </row>
    <row r="134" spans="1:15" x14ac:dyDescent="0.25">
      <c r="A134">
        <v>133</v>
      </c>
      <c r="B134" s="2">
        <v>45970.63958333333</v>
      </c>
      <c r="C134" s="2">
        <v>45970.643750000003</v>
      </c>
      <c r="D134" t="s">
        <v>15</v>
      </c>
      <c r="F134" t="s">
        <v>31</v>
      </c>
      <c r="G134" t="s">
        <v>17</v>
      </c>
      <c r="H134" t="s">
        <v>18</v>
      </c>
      <c r="I134" t="s">
        <v>19</v>
      </c>
      <c r="J134">
        <v>9</v>
      </c>
      <c r="K134">
        <v>7</v>
      </c>
      <c r="L134" t="s">
        <v>439</v>
      </c>
      <c r="M134" s="1" t="s">
        <v>440</v>
      </c>
      <c r="N134" t="str">
        <f t="shared" si="4"/>
        <v>Promoter</v>
      </c>
      <c r="O134">
        <f t="shared" si="5"/>
        <v>70</v>
      </c>
    </row>
    <row r="135" spans="1:15" x14ac:dyDescent="0.25">
      <c r="A135">
        <v>134</v>
      </c>
      <c r="B135" t="s">
        <v>441</v>
      </c>
      <c r="C135" t="s">
        <v>442</v>
      </c>
      <c r="D135" t="s">
        <v>15</v>
      </c>
      <c r="F135" t="s">
        <v>31</v>
      </c>
      <c r="G135" t="s">
        <v>17</v>
      </c>
      <c r="H135" t="s">
        <v>26</v>
      </c>
      <c r="I135" t="s">
        <v>19</v>
      </c>
      <c r="J135">
        <v>9</v>
      </c>
      <c r="K135">
        <v>8</v>
      </c>
      <c r="L135" t="s">
        <v>443</v>
      </c>
      <c r="M135" t="s">
        <v>444</v>
      </c>
      <c r="N135" t="str">
        <f t="shared" si="4"/>
        <v>Promoter</v>
      </c>
      <c r="O135">
        <f t="shared" si="5"/>
        <v>80</v>
      </c>
    </row>
    <row r="136" spans="1:15" x14ac:dyDescent="0.25">
      <c r="A136">
        <v>135</v>
      </c>
      <c r="B136" t="s">
        <v>445</v>
      </c>
      <c r="C136" t="s">
        <v>446</v>
      </c>
      <c r="D136" t="s">
        <v>15</v>
      </c>
      <c r="F136" t="s">
        <v>24</v>
      </c>
      <c r="G136" t="s">
        <v>17</v>
      </c>
      <c r="H136" t="s">
        <v>26</v>
      </c>
      <c r="I136" t="s">
        <v>19</v>
      </c>
      <c r="J136">
        <v>5</v>
      </c>
      <c r="K136">
        <v>5</v>
      </c>
      <c r="L136" t="s">
        <v>447</v>
      </c>
      <c r="M136" t="s">
        <v>448</v>
      </c>
      <c r="N136" t="str">
        <f t="shared" si="4"/>
        <v>Detractor</v>
      </c>
      <c r="O136">
        <f t="shared" si="5"/>
        <v>50</v>
      </c>
    </row>
    <row r="137" spans="1:15" x14ac:dyDescent="0.25">
      <c r="A137">
        <v>136</v>
      </c>
      <c r="B137" t="s">
        <v>449</v>
      </c>
      <c r="C137" t="s">
        <v>450</v>
      </c>
      <c r="D137" t="s">
        <v>15</v>
      </c>
      <c r="F137" t="s">
        <v>99</v>
      </c>
      <c r="G137" t="s">
        <v>17</v>
      </c>
      <c r="H137" t="s">
        <v>18</v>
      </c>
      <c r="I137" t="s">
        <v>44</v>
      </c>
      <c r="J137">
        <v>9</v>
      </c>
      <c r="K137">
        <v>9</v>
      </c>
      <c r="L137" t="s">
        <v>451</v>
      </c>
      <c r="M137" t="s">
        <v>452</v>
      </c>
      <c r="N137" t="str">
        <f t="shared" si="4"/>
        <v>Promoter</v>
      </c>
      <c r="O137">
        <f t="shared" si="5"/>
        <v>90</v>
      </c>
    </row>
    <row r="138" spans="1:15" x14ac:dyDescent="0.25">
      <c r="A138">
        <v>137</v>
      </c>
      <c r="B138" t="s">
        <v>453</v>
      </c>
      <c r="C138" t="s">
        <v>454</v>
      </c>
      <c r="D138" t="s">
        <v>15</v>
      </c>
      <c r="F138" t="s">
        <v>24</v>
      </c>
      <c r="G138" t="s">
        <v>17</v>
      </c>
      <c r="H138" t="s">
        <v>26</v>
      </c>
      <c r="I138" t="s">
        <v>19</v>
      </c>
      <c r="J138">
        <v>6</v>
      </c>
      <c r="K138">
        <v>7</v>
      </c>
      <c r="L138" t="s">
        <v>455</v>
      </c>
      <c r="M138" t="s">
        <v>331</v>
      </c>
      <c r="N138" t="str">
        <f t="shared" si="4"/>
        <v>Detractor</v>
      </c>
      <c r="O138">
        <f t="shared" si="5"/>
        <v>70</v>
      </c>
    </row>
    <row r="139" spans="1:15" x14ac:dyDescent="0.25">
      <c r="A139">
        <v>138</v>
      </c>
      <c r="B139" t="s">
        <v>453</v>
      </c>
      <c r="C139" t="s">
        <v>456</v>
      </c>
      <c r="D139" t="s">
        <v>15</v>
      </c>
      <c r="F139" t="s">
        <v>24</v>
      </c>
      <c r="G139" t="s">
        <v>17</v>
      </c>
      <c r="H139" t="s">
        <v>26</v>
      </c>
      <c r="I139" t="s">
        <v>19</v>
      </c>
      <c r="J139">
        <v>10</v>
      </c>
      <c r="K139">
        <v>10</v>
      </c>
      <c r="L139" t="s">
        <v>457</v>
      </c>
      <c r="M139" s="1" t="s">
        <v>458</v>
      </c>
      <c r="N139" t="str">
        <f t="shared" si="4"/>
        <v>Promoter</v>
      </c>
      <c r="O139">
        <f t="shared" si="5"/>
        <v>100</v>
      </c>
    </row>
    <row r="140" spans="1:15" x14ac:dyDescent="0.25">
      <c r="A140">
        <v>139</v>
      </c>
      <c r="B140" t="s">
        <v>459</v>
      </c>
      <c r="C140" t="s">
        <v>456</v>
      </c>
      <c r="D140" t="s">
        <v>15</v>
      </c>
      <c r="F140" t="s">
        <v>16</v>
      </c>
      <c r="G140" t="s">
        <v>17</v>
      </c>
      <c r="H140" t="s">
        <v>18</v>
      </c>
      <c r="I140" t="s">
        <v>19</v>
      </c>
      <c r="J140">
        <v>2</v>
      </c>
      <c r="K140">
        <v>4</v>
      </c>
      <c r="L140" t="s">
        <v>460</v>
      </c>
      <c r="M140" t="s">
        <v>461</v>
      </c>
      <c r="N140" t="str">
        <f t="shared" si="4"/>
        <v>Detractor</v>
      </c>
      <c r="O140">
        <f t="shared" si="5"/>
        <v>40</v>
      </c>
    </row>
    <row r="141" spans="1:15" x14ac:dyDescent="0.25">
      <c r="A141">
        <v>140</v>
      </c>
      <c r="B141" t="s">
        <v>456</v>
      </c>
      <c r="C141" t="s">
        <v>462</v>
      </c>
      <c r="D141" t="s">
        <v>15</v>
      </c>
      <c r="F141" t="s">
        <v>16</v>
      </c>
      <c r="G141" t="s">
        <v>25</v>
      </c>
      <c r="H141" t="s">
        <v>26</v>
      </c>
      <c r="I141" t="s">
        <v>44</v>
      </c>
      <c r="J141">
        <v>9</v>
      </c>
      <c r="K141">
        <v>9</v>
      </c>
      <c r="L141" t="s">
        <v>463</v>
      </c>
      <c r="M141" t="s">
        <v>464</v>
      </c>
      <c r="N141" t="str">
        <f t="shared" si="4"/>
        <v>Promoter</v>
      </c>
      <c r="O141">
        <f t="shared" si="5"/>
        <v>90</v>
      </c>
    </row>
    <row r="142" spans="1:15" x14ac:dyDescent="0.25">
      <c r="A142">
        <v>141</v>
      </c>
      <c r="B142" t="s">
        <v>465</v>
      </c>
      <c r="C142" t="s">
        <v>466</v>
      </c>
      <c r="D142" t="s">
        <v>15</v>
      </c>
      <c r="F142" t="s">
        <v>99</v>
      </c>
      <c r="G142" t="s">
        <v>17</v>
      </c>
      <c r="H142" t="s">
        <v>26</v>
      </c>
      <c r="I142" t="s">
        <v>44</v>
      </c>
      <c r="J142">
        <v>9</v>
      </c>
      <c r="K142">
        <v>8</v>
      </c>
      <c r="L142" t="s">
        <v>467</v>
      </c>
      <c r="M142" t="s">
        <v>468</v>
      </c>
      <c r="N142" t="str">
        <f t="shared" si="4"/>
        <v>Promoter</v>
      </c>
      <c r="O142">
        <f t="shared" si="5"/>
        <v>80</v>
      </c>
    </row>
    <row r="143" spans="1:15" x14ac:dyDescent="0.25">
      <c r="A143">
        <v>142</v>
      </c>
      <c r="B143" t="s">
        <v>469</v>
      </c>
      <c r="C143" t="s">
        <v>470</v>
      </c>
      <c r="D143" t="s">
        <v>15</v>
      </c>
      <c r="F143" t="s">
        <v>99</v>
      </c>
      <c r="G143" t="s">
        <v>17</v>
      </c>
      <c r="H143" t="s">
        <v>26</v>
      </c>
      <c r="I143" t="s">
        <v>44</v>
      </c>
      <c r="J143">
        <v>8</v>
      </c>
      <c r="K143">
        <v>10</v>
      </c>
      <c r="L143" t="s">
        <v>471</v>
      </c>
      <c r="M143" t="s">
        <v>472</v>
      </c>
      <c r="N143" t="str">
        <f t="shared" si="4"/>
        <v>Passive</v>
      </c>
      <c r="O143">
        <f t="shared" si="5"/>
        <v>100</v>
      </c>
    </row>
    <row r="144" spans="1:15" x14ac:dyDescent="0.25">
      <c r="A144">
        <v>143</v>
      </c>
      <c r="B144" t="s">
        <v>469</v>
      </c>
      <c r="C144" t="s">
        <v>473</v>
      </c>
      <c r="D144" t="s">
        <v>15</v>
      </c>
      <c r="F144" t="s">
        <v>99</v>
      </c>
      <c r="G144" t="s">
        <v>17</v>
      </c>
      <c r="H144" t="s">
        <v>18</v>
      </c>
      <c r="I144" t="s">
        <v>44</v>
      </c>
      <c r="J144">
        <v>8</v>
      </c>
      <c r="K144">
        <v>8</v>
      </c>
      <c r="L144" t="s">
        <v>474</v>
      </c>
      <c r="M144" t="s">
        <v>475</v>
      </c>
      <c r="N144" t="str">
        <f t="shared" si="4"/>
        <v>Passive</v>
      </c>
      <c r="O144">
        <f t="shared" si="5"/>
        <v>80</v>
      </c>
    </row>
    <row r="145" spans="1:15" x14ac:dyDescent="0.25">
      <c r="A145">
        <v>144</v>
      </c>
      <c r="B145" t="s">
        <v>476</v>
      </c>
      <c r="C145" t="s">
        <v>477</v>
      </c>
      <c r="D145" t="s">
        <v>15</v>
      </c>
      <c r="F145" t="s">
        <v>43</v>
      </c>
      <c r="G145" t="s">
        <v>17</v>
      </c>
      <c r="H145" t="s">
        <v>26</v>
      </c>
      <c r="I145" t="s">
        <v>44</v>
      </c>
      <c r="J145">
        <v>7</v>
      </c>
      <c r="K145">
        <v>7</v>
      </c>
      <c r="L145" t="s">
        <v>478</v>
      </c>
      <c r="M145" t="s">
        <v>479</v>
      </c>
      <c r="N145" t="str">
        <f t="shared" si="4"/>
        <v>Passive</v>
      </c>
      <c r="O145">
        <f t="shared" si="5"/>
        <v>70</v>
      </c>
    </row>
    <row r="146" spans="1:15" x14ac:dyDescent="0.25">
      <c r="A146">
        <v>145</v>
      </c>
      <c r="B146" t="s">
        <v>480</v>
      </c>
      <c r="C146" t="s">
        <v>481</v>
      </c>
      <c r="D146" t="s">
        <v>15</v>
      </c>
      <c r="F146" t="s">
        <v>31</v>
      </c>
      <c r="G146" t="s">
        <v>17</v>
      </c>
      <c r="H146" t="s">
        <v>18</v>
      </c>
      <c r="I146" t="s">
        <v>19</v>
      </c>
      <c r="J146">
        <v>8</v>
      </c>
      <c r="K146">
        <v>7</v>
      </c>
      <c r="L146" t="s">
        <v>482</v>
      </c>
      <c r="M146" t="s">
        <v>483</v>
      </c>
      <c r="N146" t="str">
        <f t="shared" si="4"/>
        <v>Passive</v>
      </c>
      <c r="O146">
        <f t="shared" si="5"/>
        <v>70</v>
      </c>
    </row>
    <row r="147" spans="1:15" x14ac:dyDescent="0.25">
      <c r="A147">
        <v>146</v>
      </c>
      <c r="B147" t="s">
        <v>484</v>
      </c>
      <c r="C147" t="s">
        <v>485</v>
      </c>
      <c r="D147" t="s">
        <v>15</v>
      </c>
      <c r="F147" t="s">
        <v>31</v>
      </c>
      <c r="G147" t="s">
        <v>17</v>
      </c>
      <c r="H147" t="s">
        <v>18</v>
      </c>
      <c r="I147" t="s">
        <v>19</v>
      </c>
      <c r="J147">
        <v>10</v>
      </c>
      <c r="K147">
        <v>10</v>
      </c>
      <c r="L147" t="s">
        <v>486</v>
      </c>
      <c r="M147" t="s">
        <v>487</v>
      </c>
      <c r="N147" t="str">
        <f t="shared" si="4"/>
        <v>Promoter</v>
      </c>
      <c r="O147">
        <f t="shared" si="5"/>
        <v>100</v>
      </c>
    </row>
    <row r="148" spans="1:15" x14ac:dyDescent="0.25">
      <c r="A148">
        <v>147</v>
      </c>
      <c r="B148" t="s">
        <v>488</v>
      </c>
      <c r="C148" t="s">
        <v>489</v>
      </c>
      <c r="D148" t="s">
        <v>15</v>
      </c>
      <c r="F148" t="s">
        <v>99</v>
      </c>
      <c r="G148" t="s">
        <v>17</v>
      </c>
      <c r="H148" t="s">
        <v>26</v>
      </c>
      <c r="I148" t="s">
        <v>19</v>
      </c>
      <c r="J148">
        <v>5</v>
      </c>
      <c r="K148">
        <v>5</v>
      </c>
      <c r="L148" t="s">
        <v>490</v>
      </c>
      <c r="M148" t="s">
        <v>491</v>
      </c>
      <c r="N148" t="str">
        <f t="shared" si="4"/>
        <v>Detractor</v>
      </c>
      <c r="O148">
        <f t="shared" si="5"/>
        <v>50</v>
      </c>
    </row>
    <row r="149" spans="1:15" x14ac:dyDescent="0.25">
      <c r="A149">
        <v>148</v>
      </c>
      <c r="B149" t="s">
        <v>492</v>
      </c>
      <c r="C149" t="s">
        <v>493</v>
      </c>
      <c r="D149" t="s">
        <v>15</v>
      </c>
      <c r="F149" t="s">
        <v>31</v>
      </c>
      <c r="G149" t="s">
        <v>49</v>
      </c>
      <c r="H149" t="s">
        <v>26</v>
      </c>
      <c r="I149" t="s">
        <v>19</v>
      </c>
      <c r="J149">
        <v>10</v>
      </c>
      <c r="K149">
        <v>8</v>
      </c>
      <c r="L149" t="s">
        <v>494</v>
      </c>
      <c r="M149" t="s">
        <v>495</v>
      </c>
      <c r="N149" t="str">
        <f t="shared" si="4"/>
        <v>Promoter</v>
      </c>
      <c r="O149">
        <f t="shared" si="5"/>
        <v>80</v>
      </c>
    </row>
    <row r="150" spans="1:15" x14ac:dyDescent="0.25">
      <c r="A150">
        <v>149</v>
      </c>
      <c r="B150" t="s">
        <v>493</v>
      </c>
      <c r="C150" t="s">
        <v>496</v>
      </c>
      <c r="D150" t="s">
        <v>15</v>
      </c>
      <c r="F150" t="s">
        <v>58</v>
      </c>
      <c r="G150" t="s">
        <v>17</v>
      </c>
      <c r="H150" t="s">
        <v>26</v>
      </c>
      <c r="I150" t="s">
        <v>19</v>
      </c>
      <c r="J150">
        <v>10</v>
      </c>
      <c r="K150">
        <v>8</v>
      </c>
      <c r="L150" t="s">
        <v>497</v>
      </c>
      <c r="M150" t="s">
        <v>498</v>
      </c>
      <c r="N150" t="str">
        <f t="shared" si="4"/>
        <v>Promoter</v>
      </c>
      <c r="O150">
        <f t="shared" si="5"/>
        <v>80</v>
      </c>
    </row>
    <row r="151" spans="1:15" x14ac:dyDescent="0.25">
      <c r="A151">
        <v>150</v>
      </c>
      <c r="B151" t="s">
        <v>493</v>
      </c>
      <c r="C151" t="s">
        <v>496</v>
      </c>
      <c r="D151" t="s">
        <v>15</v>
      </c>
      <c r="F151" t="s">
        <v>99</v>
      </c>
      <c r="G151" t="s">
        <v>49</v>
      </c>
      <c r="H151" t="s">
        <v>26</v>
      </c>
      <c r="I151" t="s">
        <v>19</v>
      </c>
      <c r="J151">
        <v>8</v>
      </c>
      <c r="K151">
        <v>8</v>
      </c>
      <c r="L151" t="s">
        <v>499</v>
      </c>
      <c r="M151" t="s">
        <v>500</v>
      </c>
      <c r="N151" t="str">
        <f t="shared" si="4"/>
        <v>Passive</v>
      </c>
      <c r="O151">
        <f t="shared" si="5"/>
        <v>80</v>
      </c>
    </row>
    <row r="152" spans="1:15" x14ac:dyDescent="0.25">
      <c r="A152">
        <v>151</v>
      </c>
      <c r="B152" t="s">
        <v>501</v>
      </c>
      <c r="C152" t="s">
        <v>502</v>
      </c>
      <c r="D152" t="s">
        <v>15</v>
      </c>
      <c r="F152" t="s">
        <v>31</v>
      </c>
      <c r="G152" t="s">
        <v>17</v>
      </c>
      <c r="H152" t="s">
        <v>18</v>
      </c>
      <c r="I152" t="s">
        <v>19</v>
      </c>
      <c r="J152">
        <v>10</v>
      </c>
      <c r="K152">
        <v>10</v>
      </c>
      <c r="L152" t="s">
        <v>503</v>
      </c>
      <c r="M152" t="s">
        <v>504</v>
      </c>
      <c r="N152" t="str">
        <f t="shared" si="4"/>
        <v>Promoter</v>
      </c>
      <c r="O152">
        <f t="shared" si="5"/>
        <v>100</v>
      </c>
    </row>
    <row r="153" spans="1:15" x14ac:dyDescent="0.25">
      <c r="A153">
        <v>152</v>
      </c>
      <c r="B153" t="s">
        <v>505</v>
      </c>
      <c r="C153" t="s">
        <v>506</v>
      </c>
      <c r="D153" t="s">
        <v>15</v>
      </c>
      <c r="F153" t="s">
        <v>58</v>
      </c>
      <c r="G153" t="s">
        <v>49</v>
      </c>
      <c r="H153" t="s">
        <v>26</v>
      </c>
      <c r="I153" t="s">
        <v>19</v>
      </c>
      <c r="J153">
        <v>8</v>
      </c>
      <c r="K153">
        <v>8</v>
      </c>
      <c r="L153" t="s">
        <v>507</v>
      </c>
      <c r="M153" t="s">
        <v>508</v>
      </c>
      <c r="N153" t="str">
        <f t="shared" si="4"/>
        <v>Passive</v>
      </c>
      <c r="O153">
        <f t="shared" si="5"/>
        <v>80</v>
      </c>
    </row>
    <row r="154" spans="1:15" x14ac:dyDescent="0.25">
      <c r="A154">
        <v>153</v>
      </c>
      <c r="B154" t="s">
        <v>488</v>
      </c>
      <c r="C154" t="s">
        <v>509</v>
      </c>
      <c r="D154" t="s">
        <v>15</v>
      </c>
      <c r="F154" t="s">
        <v>58</v>
      </c>
      <c r="G154" t="s">
        <v>49</v>
      </c>
      <c r="H154" t="s">
        <v>26</v>
      </c>
      <c r="I154" t="s">
        <v>19</v>
      </c>
      <c r="J154">
        <v>7</v>
      </c>
      <c r="K154">
        <v>7</v>
      </c>
      <c r="L154" t="s">
        <v>510</v>
      </c>
      <c r="M154" s="1" t="s">
        <v>511</v>
      </c>
      <c r="N154" t="str">
        <f t="shared" si="4"/>
        <v>Passive</v>
      </c>
      <c r="O154">
        <f t="shared" si="5"/>
        <v>70</v>
      </c>
    </row>
    <row r="155" spans="1:15" x14ac:dyDescent="0.25">
      <c r="A155">
        <v>154</v>
      </c>
      <c r="B155" t="s">
        <v>512</v>
      </c>
      <c r="C155" t="s">
        <v>513</v>
      </c>
      <c r="D155" t="s">
        <v>15</v>
      </c>
      <c r="F155" t="s">
        <v>99</v>
      </c>
      <c r="G155" t="s">
        <v>17</v>
      </c>
      <c r="H155" t="s">
        <v>26</v>
      </c>
      <c r="I155" t="s">
        <v>19</v>
      </c>
      <c r="J155">
        <v>10</v>
      </c>
      <c r="K155">
        <v>8</v>
      </c>
      <c r="L155" t="s">
        <v>514</v>
      </c>
      <c r="M155" s="1" t="s">
        <v>515</v>
      </c>
      <c r="N155" t="str">
        <f t="shared" si="4"/>
        <v>Promoter</v>
      </c>
      <c r="O155">
        <f t="shared" si="5"/>
        <v>80</v>
      </c>
    </row>
    <row r="156" spans="1:15" x14ac:dyDescent="0.25">
      <c r="A156">
        <v>155</v>
      </c>
      <c r="B156" t="s">
        <v>516</v>
      </c>
      <c r="C156" t="s">
        <v>517</v>
      </c>
      <c r="D156" t="s">
        <v>15</v>
      </c>
      <c r="F156" t="s">
        <v>31</v>
      </c>
      <c r="G156" t="s">
        <v>17</v>
      </c>
      <c r="H156" t="s">
        <v>18</v>
      </c>
      <c r="I156" t="s">
        <v>19</v>
      </c>
      <c r="J156">
        <v>10</v>
      </c>
      <c r="K156">
        <v>10</v>
      </c>
      <c r="L156" t="s">
        <v>518</v>
      </c>
      <c r="M156" t="s">
        <v>519</v>
      </c>
      <c r="N156" t="str">
        <f t="shared" si="4"/>
        <v>Promoter</v>
      </c>
      <c r="O156">
        <f t="shared" si="5"/>
        <v>100</v>
      </c>
    </row>
    <row r="157" spans="1:15" x14ac:dyDescent="0.25">
      <c r="A157">
        <v>156</v>
      </c>
      <c r="B157" t="s">
        <v>520</v>
      </c>
      <c r="C157" t="s">
        <v>521</v>
      </c>
      <c r="D157" t="s">
        <v>15</v>
      </c>
      <c r="F157" t="s">
        <v>99</v>
      </c>
      <c r="G157" t="s">
        <v>25</v>
      </c>
      <c r="H157" t="s">
        <v>18</v>
      </c>
      <c r="I157" t="s">
        <v>19</v>
      </c>
      <c r="J157">
        <v>9</v>
      </c>
      <c r="K157">
        <v>8</v>
      </c>
      <c r="L157" t="s">
        <v>522</v>
      </c>
      <c r="M157" t="s">
        <v>523</v>
      </c>
      <c r="N157" t="str">
        <f t="shared" si="4"/>
        <v>Promoter</v>
      </c>
      <c r="O157">
        <f t="shared" si="5"/>
        <v>80</v>
      </c>
    </row>
    <row r="158" spans="1:15" x14ac:dyDescent="0.25">
      <c r="A158">
        <v>157</v>
      </c>
      <c r="B158" t="s">
        <v>524</v>
      </c>
      <c r="C158" t="s">
        <v>521</v>
      </c>
      <c r="D158" t="s">
        <v>15</v>
      </c>
      <c r="F158" t="s">
        <v>31</v>
      </c>
      <c r="G158" t="s">
        <v>17</v>
      </c>
      <c r="H158" t="s">
        <v>26</v>
      </c>
      <c r="I158" t="s">
        <v>19</v>
      </c>
      <c r="J158">
        <v>10</v>
      </c>
      <c r="K158">
        <v>7</v>
      </c>
      <c r="L158" t="s">
        <v>525</v>
      </c>
      <c r="M158" s="1" t="s">
        <v>526</v>
      </c>
      <c r="N158" t="str">
        <f t="shared" si="4"/>
        <v>Promoter</v>
      </c>
      <c r="O158">
        <f t="shared" si="5"/>
        <v>70</v>
      </c>
    </row>
    <row r="159" spans="1:15" x14ac:dyDescent="0.25">
      <c r="A159">
        <v>158</v>
      </c>
      <c r="B159" t="s">
        <v>527</v>
      </c>
      <c r="C159" t="s">
        <v>528</v>
      </c>
      <c r="D159" t="s">
        <v>15</v>
      </c>
      <c r="F159" t="s">
        <v>31</v>
      </c>
      <c r="G159" t="s">
        <v>17</v>
      </c>
      <c r="H159" t="s">
        <v>18</v>
      </c>
      <c r="I159" t="s">
        <v>19</v>
      </c>
      <c r="J159">
        <v>8</v>
      </c>
      <c r="K159">
        <v>8</v>
      </c>
      <c r="L159" t="s">
        <v>529</v>
      </c>
      <c r="M159" s="1" t="s">
        <v>530</v>
      </c>
      <c r="N159" t="str">
        <f t="shared" si="4"/>
        <v>Passive</v>
      </c>
      <c r="O159">
        <f t="shared" si="5"/>
        <v>80</v>
      </c>
    </row>
    <row r="160" spans="1:15" x14ac:dyDescent="0.25">
      <c r="A160">
        <v>159</v>
      </c>
      <c r="B160" t="s">
        <v>505</v>
      </c>
      <c r="C160" t="s">
        <v>531</v>
      </c>
      <c r="D160" t="s">
        <v>15</v>
      </c>
      <c r="F160" t="s">
        <v>31</v>
      </c>
      <c r="G160" t="s">
        <v>17</v>
      </c>
      <c r="H160" t="s">
        <v>26</v>
      </c>
      <c r="I160" t="s">
        <v>19</v>
      </c>
      <c r="J160">
        <v>8</v>
      </c>
      <c r="K160">
        <v>8</v>
      </c>
      <c r="L160" t="s">
        <v>529</v>
      </c>
      <c r="M160" s="1" t="s">
        <v>532</v>
      </c>
      <c r="N160" t="str">
        <f t="shared" si="4"/>
        <v>Passive</v>
      </c>
      <c r="O160">
        <f t="shared" si="5"/>
        <v>80</v>
      </c>
    </row>
    <row r="161" spans="1:15" x14ac:dyDescent="0.25">
      <c r="A161">
        <v>160</v>
      </c>
      <c r="B161" t="s">
        <v>533</v>
      </c>
      <c r="C161" t="s">
        <v>534</v>
      </c>
      <c r="D161" t="s">
        <v>15</v>
      </c>
      <c r="F161" t="s">
        <v>24</v>
      </c>
      <c r="G161" t="s">
        <v>17</v>
      </c>
      <c r="H161" t="s">
        <v>26</v>
      </c>
      <c r="I161" t="s">
        <v>19</v>
      </c>
      <c r="J161">
        <v>9</v>
      </c>
      <c r="K161">
        <v>8</v>
      </c>
      <c r="L161" s="1" t="s">
        <v>535</v>
      </c>
      <c r="M161" t="s">
        <v>536</v>
      </c>
      <c r="N161" t="str">
        <f t="shared" si="4"/>
        <v>Promoter</v>
      </c>
      <c r="O161">
        <f t="shared" si="5"/>
        <v>80</v>
      </c>
    </row>
    <row r="162" spans="1:15" x14ac:dyDescent="0.25">
      <c r="A162">
        <v>161</v>
      </c>
      <c r="B162" t="s">
        <v>537</v>
      </c>
      <c r="C162" t="s">
        <v>538</v>
      </c>
      <c r="D162" t="s">
        <v>15</v>
      </c>
      <c r="F162" t="s">
        <v>99</v>
      </c>
      <c r="G162" t="s">
        <v>17</v>
      </c>
      <c r="H162" t="s">
        <v>18</v>
      </c>
      <c r="I162" t="s">
        <v>19</v>
      </c>
      <c r="J162">
        <v>7</v>
      </c>
      <c r="K162">
        <v>7</v>
      </c>
      <c r="L162" t="s">
        <v>539</v>
      </c>
      <c r="M162" t="s">
        <v>540</v>
      </c>
      <c r="N162" t="str">
        <f t="shared" si="4"/>
        <v>Passive</v>
      </c>
      <c r="O162">
        <f t="shared" si="5"/>
        <v>70</v>
      </c>
    </row>
    <row r="163" spans="1:15" x14ac:dyDescent="0.25">
      <c r="A163">
        <v>162</v>
      </c>
      <c r="B163" t="s">
        <v>537</v>
      </c>
      <c r="C163" t="s">
        <v>541</v>
      </c>
      <c r="D163" t="s">
        <v>15</v>
      </c>
      <c r="F163" t="s">
        <v>99</v>
      </c>
      <c r="G163" t="s">
        <v>25</v>
      </c>
      <c r="H163" t="s">
        <v>18</v>
      </c>
      <c r="I163" t="s">
        <v>19</v>
      </c>
      <c r="J163">
        <v>5</v>
      </c>
      <c r="K163">
        <v>6</v>
      </c>
      <c r="L163" t="s">
        <v>542</v>
      </c>
      <c r="M163" t="s">
        <v>543</v>
      </c>
      <c r="N163" t="str">
        <f t="shared" si="4"/>
        <v>Detractor</v>
      </c>
      <c r="O163">
        <f t="shared" si="5"/>
        <v>60</v>
      </c>
    </row>
    <row r="164" spans="1:15" x14ac:dyDescent="0.25">
      <c r="A164">
        <v>163</v>
      </c>
      <c r="B164" t="s">
        <v>544</v>
      </c>
      <c r="C164" t="s">
        <v>545</v>
      </c>
      <c r="D164" t="s">
        <v>15</v>
      </c>
      <c r="F164" t="s">
        <v>16</v>
      </c>
      <c r="G164" t="s">
        <v>25</v>
      </c>
      <c r="H164" t="s">
        <v>26</v>
      </c>
      <c r="I164" t="s">
        <v>44</v>
      </c>
      <c r="J164">
        <v>7</v>
      </c>
      <c r="K164">
        <v>7</v>
      </c>
      <c r="L164" t="s">
        <v>546</v>
      </c>
      <c r="M164" t="s">
        <v>547</v>
      </c>
      <c r="N164" t="str">
        <f t="shared" si="4"/>
        <v>Passive</v>
      </c>
      <c r="O164">
        <f t="shared" si="5"/>
        <v>70</v>
      </c>
    </row>
    <row r="165" spans="1:15" x14ac:dyDescent="0.25">
      <c r="A165">
        <v>164</v>
      </c>
      <c r="B165" t="s">
        <v>548</v>
      </c>
      <c r="C165" t="s">
        <v>549</v>
      </c>
      <c r="D165" t="s">
        <v>15</v>
      </c>
      <c r="F165" t="s">
        <v>99</v>
      </c>
      <c r="G165" t="s">
        <v>17</v>
      </c>
      <c r="H165" t="s">
        <v>18</v>
      </c>
      <c r="I165" t="s">
        <v>19</v>
      </c>
      <c r="J165">
        <v>10</v>
      </c>
      <c r="K165">
        <v>10</v>
      </c>
      <c r="L165" t="s">
        <v>112</v>
      </c>
      <c r="M165" t="s">
        <v>112</v>
      </c>
      <c r="N165" t="str">
        <f t="shared" si="4"/>
        <v>Promoter</v>
      </c>
      <c r="O165">
        <f t="shared" si="5"/>
        <v>100</v>
      </c>
    </row>
    <row r="166" spans="1:15" x14ac:dyDescent="0.25">
      <c r="A166">
        <v>165</v>
      </c>
      <c r="B166" t="s">
        <v>550</v>
      </c>
      <c r="C166" t="s">
        <v>551</v>
      </c>
      <c r="D166" t="s">
        <v>15</v>
      </c>
      <c r="F166" t="s">
        <v>36</v>
      </c>
      <c r="G166" t="s">
        <v>17</v>
      </c>
      <c r="H166" t="s">
        <v>26</v>
      </c>
      <c r="I166" t="s">
        <v>19</v>
      </c>
      <c r="J166">
        <v>5</v>
      </c>
      <c r="K166">
        <v>9</v>
      </c>
      <c r="L166" t="s">
        <v>552</v>
      </c>
      <c r="M166" t="s">
        <v>553</v>
      </c>
      <c r="N166" t="str">
        <f t="shared" si="4"/>
        <v>Detractor</v>
      </c>
      <c r="O166">
        <f t="shared" si="5"/>
        <v>90</v>
      </c>
    </row>
    <row r="167" spans="1:15" x14ac:dyDescent="0.25">
      <c r="A167">
        <v>166</v>
      </c>
      <c r="B167" t="s">
        <v>554</v>
      </c>
      <c r="C167" t="s">
        <v>555</v>
      </c>
      <c r="D167" t="s">
        <v>15</v>
      </c>
      <c r="F167" t="s">
        <v>99</v>
      </c>
      <c r="G167" t="s">
        <v>17</v>
      </c>
      <c r="H167" t="s">
        <v>18</v>
      </c>
      <c r="I167" t="s">
        <v>19</v>
      </c>
      <c r="J167">
        <v>10</v>
      </c>
      <c r="K167">
        <v>10</v>
      </c>
      <c r="L167" t="s">
        <v>556</v>
      </c>
      <c r="M167" t="s">
        <v>557</v>
      </c>
      <c r="N167" t="str">
        <f t="shared" si="4"/>
        <v>Promoter</v>
      </c>
      <c r="O167">
        <f t="shared" si="5"/>
        <v>100</v>
      </c>
    </row>
    <row r="168" spans="1:15" x14ac:dyDescent="0.25">
      <c r="A168">
        <v>167</v>
      </c>
      <c r="B168" t="s">
        <v>558</v>
      </c>
      <c r="C168" t="s">
        <v>559</v>
      </c>
      <c r="D168" t="s">
        <v>15</v>
      </c>
      <c r="F168" t="s">
        <v>43</v>
      </c>
      <c r="G168" t="s">
        <v>17</v>
      </c>
      <c r="H168" t="s">
        <v>26</v>
      </c>
      <c r="I168" t="s">
        <v>19</v>
      </c>
      <c r="J168">
        <v>5</v>
      </c>
      <c r="K168">
        <v>5</v>
      </c>
      <c r="L168" t="s">
        <v>560</v>
      </c>
      <c r="M168" t="s">
        <v>561</v>
      </c>
      <c r="N168" t="str">
        <f t="shared" si="4"/>
        <v>Detractor</v>
      </c>
      <c r="O168">
        <f t="shared" si="5"/>
        <v>50</v>
      </c>
    </row>
    <row r="169" spans="1:15" x14ac:dyDescent="0.25">
      <c r="A169">
        <v>168</v>
      </c>
      <c r="B169" t="s">
        <v>562</v>
      </c>
      <c r="C169" t="s">
        <v>563</v>
      </c>
      <c r="D169" t="s">
        <v>15</v>
      </c>
      <c r="F169" t="s">
        <v>99</v>
      </c>
      <c r="G169" t="s">
        <v>49</v>
      </c>
      <c r="H169" t="s">
        <v>18</v>
      </c>
      <c r="I169" t="s">
        <v>19</v>
      </c>
      <c r="J169">
        <v>6</v>
      </c>
      <c r="K169">
        <v>4</v>
      </c>
      <c r="L169" s="1" t="s">
        <v>564</v>
      </c>
      <c r="M169" s="1" t="s">
        <v>565</v>
      </c>
      <c r="N169" t="str">
        <f t="shared" si="4"/>
        <v>Detractor</v>
      </c>
      <c r="O169">
        <f t="shared" si="5"/>
        <v>40</v>
      </c>
    </row>
    <row r="170" spans="1:15" x14ac:dyDescent="0.25">
      <c r="A170">
        <v>169</v>
      </c>
      <c r="B170" t="s">
        <v>566</v>
      </c>
      <c r="C170" t="s">
        <v>567</v>
      </c>
      <c r="D170" t="s">
        <v>15</v>
      </c>
      <c r="F170" t="s">
        <v>99</v>
      </c>
      <c r="G170" t="s">
        <v>49</v>
      </c>
      <c r="H170" t="s">
        <v>18</v>
      </c>
      <c r="I170" t="s">
        <v>19</v>
      </c>
      <c r="J170">
        <v>4</v>
      </c>
      <c r="K170">
        <v>6</v>
      </c>
      <c r="L170" t="s">
        <v>568</v>
      </c>
      <c r="M170" s="1" t="s">
        <v>569</v>
      </c>
      <c r="N170" t="str">
        <f t="shared" si="4"/>
        <v>Detractor</v>
      </c>
      <c r="O170">
        <f t="shared" si="5"/>
        <v>60</v>
      </c>
    </row>
    <row r="171" spans="1:15" x14ac:dyDescent="0.25">
      <c r="A171">
        <v>170</v>
      </c>
      <c r="B171" t="s">
        <v>567</v>
      </c>
      <c r="C171" t="s">
        <v>570</v>
      </c>
      <c r="D171" t="s">
        <v>15</v>
      </c>
      <c r="F171" t="s">
        <v>16</v>
      </c>
      <c r="G171" t="s">
        <v>17</v>
      </c>
      <c r="H171" t="s">
        <v>26</v>
      </c>
      <c r="I171" t="s">
        <v>19</v>
      </c>
      <c r="J171">
        <v>7</v>
      </c>
      <c r="K171">
        <v>8</v>
      </c>
      <c r="L171" t="s">
        <v>571</v>
      </c>
      <c r="M171" s="1" t="s">
        <v>572</v>
      </c>
      <c r="N171" t="str">
        <f t="shared" si="4"/>
        <v>Passive</v>
      </c>
      <c r="O171">
        <f t="shared" si="5"/>
        <v>80</v>
      </c>
    </row>
    <row r="172" spans="1:15" x14ac:dyDescent="0.25">
      <c r="A172">
        <v>171</v>
      </c>
      <c r="B172" t="s">
        <v>573</v>
      </c>
      <c r="C172" t="s">
        <v>574</v>
      </c>
      <c r="D172" t="s">
        <v>15</v>
      </c>
      <c r="F172" t="s">
        <v>31</v>
      </c>
      <c r="G172" t="s">
        <v>17</v>
      </c>
      <c r="H172" t="s">
        <v>18</v>
      </c>
      <c r="I172" t="s">
        <v>44</v>
      </c>
      <c r="J172">
        <v>8</v>
      </c>
      <c r="K172">
        <v>9</v>
      </c>
      <c r="L172" t="s">
        <v>575</v>
      </c>
      <c r="M172" t="s">
        <v>576</v>
      </c>
      <c r="N172" t="str">
        <f t="shared" si="4"/>
        <v>Passive</v>
      </c>
      <c r="O172">
        <f t="shared" si="5"/>
        <v>90</v>
      </c>
    </row>
    <row r="173" spans="1:15" x14ac:dyDescent="0.25">
      <c r="A173">
        <v>172</v>
      </c>
      <c r="B173" t="s">
        <v>577</v>
      </c>
      <c r="C173" t="s">
        <v>578</v>
      </c>
      <c r="D173" t="s">
        <v>15</v>
      </c>
      <c r="F173" t="s">
        <v>36</v>
      </c>
      <c r="G173" t="s">
        <v>17</v>
      </c>
      <c r="H173" t="s">
        <v>26</v>
      </c>
      <c r="I173" t="s">
        <v>19</v>
      </c>
      <c r="J173">
        <v>8</v>
      </c>
      <c r="K173">
        <v>7</v>
      </c>
      <c r="L173" t="s">
        <v>579</v>
      </c>
      <c r="M173" t="s">
        <v>580</v>
      </c>
      <c r="N173" t="str">
        <f t="shared" si="4"/>
        <v>Passive</v>
      </c>
      <c r="O173">
        <f t="shared" si="5"/>
        <v>70</v>
      </c>
    </row>
    <row r="174" spans="1:15" x14ac:dyDescent="0.25">
      <c r="A174">
        <v>173</v>
      </c>
      <c r="B174" t="s">
        <v>581</v>
      </c>
      <c r="C174" t="s">
        <v>582</v>
      </c>
      <c r="D174" t="s">
        <v>15</v>
      </c>
      <c r="F174" t="s">
        <v>583</v>
      </c>
      <c r="G174" t="s">
        <v>17</v>
      </c>
      <c r="H174" t="s">
        <v>18</v>
      </c>
      <c r="I174" t="s">
        <v>19</v>
      </c>
      <c r="J174">
        <v>0</v>
      </c>
      <c r="K174">
        <v>0</v>
      </c>
      <c r="L174" t="s">
        <v>584</v>
      </c>
      <c r="M174" t="s">
        <v>585</v>
      </c>
      <c r="N174" t="str">
        <f t="shared" si="4"/>
        <v>Detractor</v>
      </c>
      <c r="O174">
        <f t="shared" si="5"/>
        <v>0</v>
      </c>
    </row>
    <row r="175" spans="1:15" x14ac:dyDescent="0.25">
      <c r="A175">
        <v>174</v>
      </c>
      <c r="B175" t="s">
        <v>582</v>
      </c>
      <c r="C175" t="s">
        <v>586</v>
      </c>
      <c r="D175" t="s">
        <v>15</v>
      </c>
      <c r="F175" t="s">
        <v>36</v>
      </c>
      <c r="G175" t="s">
        <v>17</v>
      </c>
      <c r="H175" t="s">
        <v>26</v>
      </c>
      <c r="I175" t="s">
        <v>19</v>
      </c>
      <c r="J175">
        <v>0</v>
      </c>
      <c r="K175">
        <v>0</v>
      </c>
      <c r="L175" t="s">
        <v>587</v>
      </c>
      <c r="M175" t="s">
        <v>588</v>
      </c>
      <c r="N175" t="str">
        <f t="shared" si="4"/>
        <v>Detractor</v>
      </c>
      <c r="O175">
        <f t="shared" si="5"/>
        <v>0</v>
      </c>
    </row>
    <row r="176" spans="1:15" x14ac:dyDescent="0.25">
      <c r="A176">
        <v>175</v>
      </c>
      <c r="B176" t="s">
        <v>589</v>
      </c>
      <c r="C176" t="s">
        <v>590</v>
      </c>
      <c r="D176" t="s">
        <v>15</v>
      </c>
      <c r="F176" t="s">
        <v>36</v>
      </c>
      <c r="G176" t="s">
        <v>17</v>
      </c>
      <c r="H176" t="s">
        <v>18</v>
      </c>
      <c r="I176" t="s">
        <v>44</v>
      </c>
      <c r="J176">
        <v>8</v>
      </c>
      <c r="K176">
        <v>8</v>
      </c>
      <c r="L176" t="s">
        <v>591</v>
      </c>
      <c r="M176" t="s">
        <v>592</v>
      </c>
      <c r="N176" t="str">
        <f t="shared" si="4"/>
        <v>Passive</v>
      </c>
      <c r="O176">
        <f t="shared" si="5"/>
        <v>80</v>
      </c>
    </row>
    <row r="177" spans="1:15" x14ac:dyDescent="0.25">
      <c r="A177">
        <v>176</v>
      </c>
      <c r="B177" t="s">
        <v>593</v>
      </c>
      <c r="C177" t="s">
        <v>594</v>
      </c>
      <c r="D177" t="s">
        <v>15</v>
      </c>
      <c r="F177" t="s">
        <v>36</v>
      </c>
      <c r="G177" t="s">
        <v>17</v>
      </c>
      <c r="H177" t="s">
        <v>26</v>
      </c>
      <c r="I177" t="s">
        <v>19</v>
      </c>
      <c r="J177">
        <v>8</v>
      </c>
      <c r="K177">
        <v>8</v>
      </c>
      <c r="L177" t="s">
        <v>595</v>
      </c>
      <c r="M177" t="s">
        <v>596</v>
      </c>
      <c r="N177" t="str">
        <f t="shared" si="4"/>
        <v>Passive</v>
      </c>
      <c r="O177">
        <f t="shared" si="5"/>
        <v>80</v>
      </c>
    </row>
    <row r="178" spans="1:15" x14ac:dyDescent="0.25">
      <c r="A178">
        <v>177</v>
      </c>
      <c r="B178" t="s">
        <v>597</v>
      </c>
      <c r="C178" t="s">
        <v>598</v>
      </c>
      <c r="D178" t="s">
        <v>15</v>
      </c>
      <c r="F178" t="s">
        <v>36</v>
      </c>
      <c r="G178" t="s">
        <v>17</v>
      </c>
      <c r="H178" t="s">
        <v>26</v>
      </c>
      <c r="I178" t="s">
        <v>19</v>
      </c>
      <c r="J178">
        <v>8</v>
      </c>
      <c r="K178">
        <v>8</v>
      </c>
      <c r="L178" t="s">
        <v>599</v>
      </c>
      <c r="M178" s="1" t="s">
        <v>600</v>
      </c>
      <c r="N178" t="str">
        <f t="shared" si="4"/>
        <v>Passive</v>
      </c>
      <c r="O178">
        <f t="shared" si="5"/>
        <v>80</v>
      </c>
    </row>
    <row r="179" spans="1:15" x14ac:dyDescent="0.25">
      <c r="A179">
        <v>178</v>
      </c>
      <c r="B179" t="s">
        <v>601</v>
      </c>
      <c r="C179" t="s">
        <v>602</v>
      </c>
      <c r="D179" t="s">
        <v>15</v>
      </c>
      <c r="F179" t="s">
        <v>99</v>
      </c>
      <c r="G179" t="s">
        <v>17</v>
      </c>
      <c r="H179" t="s">
        <v>18</v>
      </c>
      <c r="I179" t="s">
        <v>19</v>
      </c>
      <c r="J179">
        <v>10</v>
      </c>
      <c r="K179">
        <v>8</v>
      </c>
      <c r="L179" t="s">
        <v>198</v>
      </c>
      <c r="M179" t="s">
        <v>198</v>
      </c>
      <c r="N179" t="str">
        <f t="shared" si="4"/>
        <v>Promoter</v>
      </c>
      <c r="O179">
        <f t="shared" si="5"/>
        <v>80</v>
      </c>
    </row>
    <row r="180" spans="1:15" x14ac:dyDescent="0.25">
      <c r="A180">
        <v>179</v>
      </c>
      <c r="B180" t="s">
        <v>603</v>
      </c>
      <c r="C180" t="s">
        <v>604</v>
      </c>
      <c r="D180" t="s">
        <v>15</v>
      </c>
      <c r="F180" t="s">
        <v>99</v>
      </c>
      <c r="G180" t="s">
        <v>17</v>
      </c>
      <c r="H180" t="s">
        <v>18</v>
      </c>
      <c r="I180" t="s">
        <v>19</v>
      </c>
      <c r="J180">
        <v>4</v>
      </c>
      <c r="K180">
        <v>6</v>
      </c>
      <c r="L180" t="s">
        <v>605</v>
      </c>
      <c r="M180" s="1" t="s">
        <v>606</v>
      </c>
      <c r="N180" t="str">
        <f t="shared" si="4"/>
        <v>Detractor</v>
      </c>
      <c r="O180">
        <f t="shared" si="5"/>
        <v>60</v>
      </c>
    </row>
    <row r="181" spans="1:15" x14ac:dyDescent="0.25">
      <c r="A181">
        <v>180</v>
      </c>
      <c r="B181" t="s">
        <v>607</v>
      </c>
      <c r="C181" t="s">
        <v>608</v>
      </c>
      <c r="D181" t="s">
        <v>15</v>
      </c>
      <c r="F181" t="s">
        <v>31</v>
      </c>
      <c r="G181" t="s">
        <v>25</v>
      </c>
      <c r="H181" t="s">
        <v>18</v>
      </c>
      <c r="I181" t="s">
        <v>19</v>
      </c>
      <c r="J181">
        <v>9</v>
      </c>
      <c r="K181">
        <v>10</v>
      </c>
      <c r="L181" s="1" t="s">
        <v>609</v>
      </c>
      <c r="M181" s="1" t="s">
        <v>610</v>
      </c>
      <c r="N181" t="str">
        <f t="shared" si="4"/>
        <v>Promoter</v>
      </c>
      <c r="O181">
        <f t="shared" si="5"/>
        <v>100</v>
      </c>
    </row>
    <row r="182" spans="1:15" x14ac:dyDescent="0.25">
      <c r="A182">
        <v>181</v>
      </c>
      <c r="B182" t="s">
        <v>611</v>
      </c>
      <c r="C182" t="s">
        <v>612</v>
      </c>
      <c r="D182" t="s">
        <v>15</v>
      </c>
      <c r="F182" t="s">
        <v>43</v>
      </c>
      <c r="G182" t="s">
        <v>49</v>
      </c>
      <c r="H182" t="s">
        <v>18</v>
      </c>
      <c r="I182" t="s">
        <v>19</v>
      </c>
      <c r="J182">
        <v>8</v>
      </c>
      <c r="K182">
        <v>8</v>
      </c>
      <c r="L182" t="s">
        <v>613</v>
      </c>
      <c r="M182" t="s">
        <v>614</v>
      </c>
      <c r="N182" t="str">
        <f t="shared" si="4"/>
        <v>Passive</v>
      </c>
      <c r="O182">
        <f t="shared" si="5"/>
        <v>80</v>
      </c>
    </row>
    <row r="183" spans="1:15" x14ac:dyDescent="0.25">
      <c r="A183">
        <v>182</v>
      </c>
      <c r="B183" t="s">
        <v>615</v>
      </c>
      <c r="C183" t="s">
        <v>616</v>
      </c>
      <c r="D183" t="s">
        <v>15</v>
      </c>
      <c r="F183" t="s">
        <v>31</v>
      </c>
      <c r="G183" t="s">
        <v>17</v>
      </c>
      <c r="H183" t="s">
        <v>18</v>
      </c>
      <c r="I183" t="s">
        <v>19</v>
      </c>
      <c r="J183">
        <v>8</v>
      </c>
      <c r="K183">
        <v>7</v>
      </c>
      <c r="L183" t="s">
        <v>617</v>
      </c>
      <c r="M183" t="s">
        <v>618</v>
      </c>
      <c r="N183" t="str">
        <f t="shared" si="4"/>
        <v>Passive</v>
      </c>
      <c r="O183">
        <f t="shared" si="5"/>
        <v>70</v>
      </c>
    </row>
    <row r="184" spans="1:15" x14ac:dyDescent="0.25">
      <c r="A184">
        <v>183</v>
      </c>
      <c r="B184" t="s">
        <v>619</v>
      </c>
      <c r="C184" t="s">
        <v>620</v>
      </c>
      <c r="D184" t="s">
        <v>15</v>
      </c>
      <c r="F184" t="s">
        <v>31</v>
      </c>
      <c r="G184" t="s">
        <v>17</v>
      </c>
      <c r="H184" t="s">
        <v>26</v>
      </c>
      <c r="I184" t="s">
        <v>19</v>
      </c>
      <c r="J184">
        <v>10</v>
      </c>
      <c r="K184">
        <v>10</v>
      </c>
      <c r="L184" t="s">
        <v>621</v>
      </c>
      <c r="M184" t="s">
        <v>198</v>
      </c>
      <c r="N184" t="str">
        <f t="shared" si="4"/>
        <v>Promoter</v>
      </c>
      <c r="O184">
        <f t="shared" si="5"/>
        <v>100</v>
      </c>
    </row>
    <row r="185" spans="1:15" x14ac:dyDescent="0.25">
      <c r="A185">
        <v>184</v>
      </c>
      <c r="B185" t="s">
        <v>622</v>
      </c>
      <c r="C185" t="s">
        <v>623</v>
      </c>
      <c r="D185" t="s">
        <v>15</v>
      </c>
      <c r="F185" t="s">
        <v>24</v>
      </c>
      <c r="G185" t="s">
        <v>17</v>
      </c>
      <c r="H185" t="s">
        <v>26</v>
      </c>
      <c r="I185" t="s">
        <v>19</v>
      </c>
      <c r="J185">
        <v>10</v>
      </c>
      <c r="K185">
        <v>10</v>
      </c>
      <c r="L185" t="s">
        <v>624</v>
      </c>
      <c r="M185" t="s">
        <v>625</v>
      </c>
      <c r="N185" t="str">
        <f t="shared" si="4"/>
        <v>Promoter</v>
      </c>
      <c r="O185">
        <f t="shared" si="5"/>
        <v>100</v>
      </c>
    </row>
    <row r="306" spans="1:6" x14ac:dyDescent="0.25">
      <c r="C306" t="s">
        <v>626</v>
      </c>
      <c r="D306" t="s">
        <v>627</v>
      </c>
    </row>
    <row r="308" spans="1:6" x14ac:dyDescent="0.25">
      <c r="A308" t="s">
        <v>628</v>
      </c>
      <c r="B308" t="s">
        <v>629</v>
      </c>
      <c r="C308">
        <v>79</v>
      </c>
      <c r="D308">
        <v>77</v>
      </c>
    </row>
    <row r="309" spans="1:6" x14ac:dyDescent="0.25">
      <c r="B309" t="s">
        <v>630</v>
      </c>
      <c r="C309">
        <v>68</v>
      </c>
      <c r="D309">
        <v>72</v>
      </c>
      <c r="E309" t="s">
        <v>631</v>
      </c>
    </row>
    <row r="310" spans="1:6" x14ac:dyDescent="0.25">
      <c r="B310" t="s">
        <v>632</v>
      </c>
      <c r="C310">
        <v>37</v>
      </c>
      <c r="D310">
        <v>35</v>
      </c>
      <c r="E310">
        <v>184</v>
      </c>
    </row>
    <row r="312" spans="1:6" x14ac:dyDescent="0.25">
      <c r="A312" t="s">
        <v>633</v>
      </c>
      <c r="B312" t="s">
        <v>629</v>
      </c>
      <c r="C312">
        <v>2</v>
      </c>
      <c r="D312">
        <v>1</v>
      </c>
    </row>
    <row r="313" spans="1:6" x14ac:dyDescent="0.25">
      <c r="B313" t="s">
        <v>630</v>
      </c>
      <c r="C313">
        <v>6</v>
      </c>
      <c r="D313">
        <v>6</v>
      </c>
      <c r="E313" t="s">
        <v>631</v>
      </c>
    </row>
    <row r="314" spans="1:6" x14ac:dyDescent="0.25">
      <c r="B314" t="s">
        <v>632</v>
      </c>
      <c r="C314">
        <v>2</v>
      </c>
      <c r="D314">
        <v>3</v>
      </c>
      <c r="E314">
        <v>10</v>
      </c>
      <c r="F314">
        <v>25</v>
      </c>
    </row>
    <row r="316" spans="1:6" x14ac:dyDescent="0.25">
      <c r="A316" t="s">
        <v>634</v>
      </c>
      <c r="B316" t="s">
        <v>629</v>
      </c>
      <c r="C316">
        <v>7</v>
      </c>
      <c r="D316">
        <v>9</v>
      </c>
    </row>
    <row r="317" spans="1:6" x14ac:dyDescent="0.25">
      <c r="B317" t="s">
        <v>630</v>
      </c>
      <c r="C317">
        <v>6</v>
      </c>
      <c r="D317">
        <v>2</v>
      </c>
      <c r="E317" t="s">
        <v>631</v>
      </c>
    </row>
    <row r="318" spans="1:6" x14ac:dyDescent="0.25">
      <c r="B318" t="s">
        <v>632</v>
      </c>
      <c r="C318">
        <v>3</v>
      </c>
      <c r="D318">
        <v>5</v>
      </c>
      <c r="E318">
        <v>16</v>
      </c>
      <c r="F318">
        <v>43</v>
      </c>
    </row>
    <row r="320" spans="1:6" x14ac:dyDescent="0.25">
      <c r="A320" t="s">
        <v>635</v>
      </c>
      <c r="B320" t="s">
        <v>629</v>
      </c>
      <c r="C320">
        <v>2</v>
      </c>
      <c r="D320">
        <v>3</v>
      </c>
    </row>
    <row r="321" spans="1:8" x14ac:dyDescent="0.25">
      <c r="B321" t="s">
        <v>630</v>
      </c>
      <c r="C321">
        <v>8</v>
      </c>
      <c r="D321">
        <v>7</v>
      </c>
      <c r="E321" t="s">
        <v>631</v>
      </c>
    </row>
    <row r="322" spans="1:8" x14ac:dyDescent="0.25">
      <c r="B322" t="s">
        <v>632</v>
      </c>
      <c r="C322">
        <v>5</v>
      </c>
      <c r="D322">
        <v>5</v>
      </c>
      <c r="E322">
        <v>15</v>
      </c>
      <c r="F322">
        <v>30</v>
      </c>
    </row>
    <row r="324" spans="1:8" x14ac:dyDescent="0.25">
      <c r="A324" t="s">
        <v>636</v>
      </c>
      <c r="B324" t="s">
        <v>629</v>
      </c>
      <c r="C324">
        <v>2</v>
      </c>
      <c r="D324">
        <v>2</v>
      </c>
    </row>
    <row r="325" spans="1:8" x14ac:dyDescent="0.25">
      <c r="B325" t="s">
        <v>630</v>
      </c>
      <c r="C325">
        <v>3</v>
      </c>
      <c r="D325">
        <v>5</v>
      </c>
      <c r="E325" t="s">
        <v>631</v>
      </c>
    </row>
    <row r="326" spans="1:8" x14ac:dyDescent="0.25">
      <c r="B326" t="s">
        <v>632</v>
      </c>
      <c r="C326">
        <v>2</v>
      </c>
      <c r="D326">
        <v>0</v>
      </c>
      <c r="E326">
        <v>7</v>
      </c>
      <c r="F326">
        <v>28</v>
      </c>
    </row>
    <row r="328" spans="1:8" x14ac:dyDescent="0.25">
      <c r="A328" t="s">
        <v>637</v>
      </c>
      <c r="B328" t="s">
        <v>629</v>
      </c>
      <c r="C328">
        <v>14</v>
      </c>
      <c r="D328">
        <v>14</v>
      </c>
    </row>
    <row r="329" spans="1:8" x14ac:dyDescent="0.25">
      <c r="B329" t="s">
        <v>630</v>
      </c>
      <c r="C329">
        <v>9</v>
      </c>
      <c r="D329">
        <v>13</v>
      </c>
      <c r="E329" t="s">
        <v>631</v>
      </c>
    </row>
    <row r="330" spans="1:8" x14ac:dyDescent="0.25">
      <c r="B330" t="s">
        <v>632</v>
      </c>
      <c r="C330">
        <v>11</v>
      </c>
      <c r="D330">
        <v>7</v>
      </c>
      <c r="E330">
        <v>34</v>
      </c>
      <c r="G330" t="s">
        <v>638</v>
      </c>
    </row>
    <row r="331" spans="1:8" x14ac:dyDescent="0.25">
      <c r="G331">
        <v>34</v>
      </c>
      <c r="H331">
        <v>28</v>
      </c>
    </row>
    <row r="332" spans="1:8" x14ac:dyDescent="0.25">
      <c r="A332" t="s">
        <v>639</v>
      </c>
      <c r="B332" t="s">
        <v>629</v>
      </c>
      <c r="C332">
        <v>45</v>
      </c>
      <c r="D332">
        <v>40</v>
      </c>
      <c r="G332">
        <v>22</v>
      </c>
      <c r="H332">
        <v>28</v>
      </c>
    </row>
    <row r="333" spans="1:8" x14ac:dyDescent="0.25">
      <c r="B333" t="s">
        <v>630</v>
      </c>
      <c r="C333">
        <v>23</v>
      </c>
      <c r="D333">
        <v>25</v>
      </c>
      <c r="E333" t="s">
        <v>631</v>
      </c>
      <c r="G333">
        <v>1</v>
      </c>
      <c r="H333">
        <v>4</v>
      </c>
    </row>
    <row r="334" spans="1:8" x14ac:dyDescent="0.25">
      <c r="B334" t="s">
        <v>632</v>
      </c>
      <c r="C334">
        <v>5</v>
      </c>
      <c r="D334">
        <v>8</v>
      </c>
      <c r="E334">
        <v>73</v>
      </c>
    </row>
    <row r="335" spans="1:8" x14ac:dyDescent="0.25">
      <c r="G335" t="s">
        <v>640</v>
      </c>
    </row>
    <row r="336" spans="1:8" x14ac:dyDescent="0.25">
      <c r="A336" t="s">
        <v>641</v>
      </c>
      <c r="B336" t="s">
        <v>629</v>
      </c>
      <c r="C336">
        <v>6</v>
      </c>
      <c r="D336">
        <v>6</v>
      </c>
      <c r="G336">
        <v>3</v>
      </c>
      <c r="H336">
        <v>4</v>
      </c>
    </row>
    <row r="337" spans="1:8" x14ac:dyDescent="0.25">
      <c r="B337" t="s">
        <v>630</v>
      </c>
      <c r="C337">
        <v>7</v>
      </c>
      <c r="D337">
        <v>9</v>
      </c>
      <c r="E337" t="s">
        <v>631</v>
      </c>
      <c r="G337">
        <v>2</v>
      </c>
      <c r="H337">
        <v>1</v>
      </c>
    </row>
    <row r="338" spans="1:8" x14ac:dyDescent="0.25">
      <c r="B338" t="s">
        <v>632</v>
      </c>
      <c r="C338">
        <v>4</v>
      </c>
      <c r="D338">
        <v>2</v>
      </c>
      <c r="E338">
        <v>17</v>
      </c>
      <c r="G338">
        <v>1</v>
      </c>
      <c r="H338">
        <v>1</v>
      </c>
    </row>
    <row r="340" spans="1:8" x14ac:dyDescent="0.25">
      <c r="A340" t="s">
        <v>642</v>
      </c>
      <c r="B340" t="s">
        <v>629</v>
      </c>
      <c r="C340">
        <v>1</v>
      </c>
      <c r="D340">
        <v>2</v>
      </c>
      <c r="G340" t="s">
        <v>643</v>
      </c>
    </row>
    <row r="341" spans="1:8" x14ac:dyDescent="0.25">
      <c r="B341" t="s">
        <v>630</v>
      </c>
      <c r="C341">
        <v>6</v>
      </c>
      <c r="D341">
        <v>5</v>
      </c>
      <c r="E341" t="s">
        <v>631</v>
      </c>
      <c r="G341">
        <v>8</v>
      </c>
      <c r="H341">
        <v>8</v>
      </c>
    </row>
    <row r="342" spans="1:8" x14ac:dyDescent="0.25">
      <c r="B342" t="s">
        <v>632</v>
      </c>
      <c r="C342">
        <v>4</v>
      </c>
      <c r="D342">
        <v>4</v>
      </c>
      <c r="E342">
        <v>11</v>
      </c>
      <c r="F342">
        <v>29</v>
      </c>
      <c r="G342">
        <v>4</v>
      </c>
      <c r="H342">
        <v>4</v>
      </c>
    </row>
    <row r="343" spans="1:8" x14ac:dyDescent="0.25">
      <c r="G343">
        <v>3</v>
      </c>
      <c r="H343">
        <v>3</v>
      </c>
    </row>
    <row r="344" spans="1:8" x14ac:dyDescent="0.25">
      <c r="D344" t="s">
        <v>644</v>
      </c>
      <c r="E344">
        <v>183</v>
      </c>
    </row>
    <row r="345" spans="1:8" x14ac:dyDescent="0.25">
      <c r="G345" t="s">
        <v>645</v>
      </c>
    </row>
    <row r="346" spans="1:8" x14ac:dyDescent="0.25">
      <c r="G346">
        <v>5</v>
      </c>
      <c r="H346">
        <v>5</v>
      </c>
    </row>
    <row r="347" spans="1:8" x14ac:dyDescent="0.25">
      <c r="G347">
        <v>6</v>
      </c>
      <c r="H347">
        <v>6</v>
      </c>
    </row>
    <row r="348" spans="1:8" x14ac:dyDescent="0.25">
      <c r="G348">
        <v>3</v>
      </c>
      <c r="H348">
        <v>2</v>
      </c>
    </row>
    <row r="350" spans="1:8" x14ac:dyDescent="0.25">
      <c r="G350" t="s">
        <v>646</v>
      </c>
    </row>
    <row r="351" spans="1:8" x14ac:dyDescent="0.25">
      <c r="G351">
        <v>0</v>
      </c>
      <c r="H351">
        <v>0</v>
      </c>
    </row>
    <row r="352" spans="1:8" x14ac:dyDescent="0.25">
      <c r="G352">
        <v>1</v>
      </c>
      <c r="H352">
        <v>0</v>
      </c>
    </row>
    <row r="353" spans="7:8" x14ac:dyDescent="0.25">
      <c r="G353">
        <v>1</v>
      </c>
      <c r="H353">
        <v>0</v>
      </c>
    </row>
    <row r="355" spans="7:8" x14ac:dyDescent="0.25">
      <c r="G355" t="s">
        <v>647</v>
      </c>
    </row>
    <row r="356" spans="7:8" x14ac:dyDescent="0.25">
      <c r="G356">
        <v>0</v>
      </c>
      <c r="H356">
        <v>0</v>
      </c>
    </row>
    <row r="357" spans="7:8" x14ac:dyDescent="0.25">
      <c r="G357">
        <v>4</v>
      </c>
      <c r="H357">
        <v>0</v>
      </c>
    </row>
    <row r="358" spans="7:8" x14ac:dyDescent="0.25">
      <c r="G358">
        <v>0</v>
      </c>
      <c r="H35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JBS - eNPS &amp; cNPS Survey (FY 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Fahad</dc:creator>
  <cp:lastModifiedBy>Dell</cp:lastModifiedBy>
  <dcterms:created xsi:type="dcterms:W3CDTF">2026-01-01T12:06:03Z</dcterms:created>
  <dcterms:modified xsi:type="dcterms:W3CDTF">2026-01-01T12:06:03Z</dcterms:modified>
</cp:coreProperties>
</file>